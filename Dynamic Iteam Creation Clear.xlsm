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okumente\PnP\Pathfinder\Chars\Yavarie Grigoria\Downtime\Dynamic Item Creation\"/>
    </mc:Choice>
  </mc:AlternateContent>
  <bookViews>
    <workbookView xWindow="0" yWindow="0" windowWidth="28800" windowHeight="11985"/>
  </bookViews>
  <sheets>
    <sheet name="Front" sheetId="9" r:id="rId1"/>
    <sheet name="Ergebnis" sheetId="10" state="hidden" r:id="rId2"/>
    <sheet name="bestlist" sheetId="5" state="hidden" r:id="rId3"/>
    <sheet name="Challenge Liste" sheetId="2" state="hidden" r:id="rId4"/>
    <sheet name="Skill Liste" sheetId="3" state="hidden" r:id="rId5"/>
    <sheet name="Data" sheetId="11" state="hidden" r:id="rId6"/>
    <sheet name="Rechnungen" sheetId="6" state="hidden" r:id="rId7"/>
    <sheet name="Simulation" sheetId="8" state="hidden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8" l="1"/>
  <c r="J5" i="8"/>
  <c r="H4" i="10" s="1"/>
  <c r="G5" i="8"/>
  <c r="F5" i="8"/>
  <c r="C6" i="8"/>
  <c r="B6" i="8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F1" i="3"/>
  <c r="E1" i="3"/>
  <c r="D1" i="3"/>
  <c r="C1" i="3"/>
  <c r="H1" i="3"/>
  <c r="G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C3" i="3"/>
  <c r="I3" i="3" s="1"/>
  <c r="C4" i="3"/>
  <c r="C5" i="3"/>
  <c r="C6" i="3"/>
  <c r="J6" i="3" s="1"/>
  <c r="C7" i="3"/>
  <c r="J7" i="3" s="1"/>
  <c r="C8" i="3"/>
  <c r="C9" i="3"/>
  <c r="I9" i="3" s="1"/>
  <c r="C10" i="3"/>
  <c r="C11" i="3"/>
  <c r="I11" i="3" s="1"/>
  <c r="C12" i="3"/>
  <c r="C13" i="3"/>
  <c r="J13" i="3" s="1"/>
  <c r="C14" i="3"/>
  <c r="J14" i="3" s="1"/>
  <c r="C15" i="3"/>
  <c r="I15" i="3" s="1"/>
  <c r="C16" i="3"/>
  <c r="I16" i="3" s="1"/>
  <c r="C17" i="3"/>
  <c r="J17" i="3" s="1"/>
  <c r="C18" i="3"/>
  <c r="J18" i="3" s="1"/>
  <c r="C19" i="3"/>
  <c r="I19" i="3" s="1"/>
  <c r="C20" i="3"/>
  <c r="I20" i="3" s="1"/>
  <c r="C21" i="3"/>
  <c r="J21" i="3" s="1"/>
  <c r="C22" i="3"/>
  <c r="J22" i="3" s="1"/>
  <c r="C23" i="3"/>
  <c r="I23" i="3" s="1"/>
  <c r="C24" i="3"/>
  <c r="C25" i="3"/>
  <c r="C26" i="3"/>
  <c r="I26" i="3" s="1"/>
  <c r="C27" i="3"/>
  <c r="J27" i="3" s="1"/>
  <c r="C28" i="3"/>
  <c r="J28" i="3" s="1"/>
  <c r="C29" i="3"/>
  <c r="C2" i="3"/>
  <c r="B4" i="10"/>
  <c r="A4" i="10"/>
  <c r="I1" i="10"/>
  <c r="E1" i="8"/>
  <c r="G1" i="8" s="1"/>
  <c r="I1" i="8"/>
  <c r="D4" i="10"/>
  <c r="E4" i="10"/>
  <c r="J24" i="3" l="1"/>
  <c r="J12" i="3"/>
  <c r="I8" i="3"/>
  <c r="J4" i="3"/>
  <c r="J26" i="3"/>
  <c r="J20" i="3"/>
  <c r="J16" i="3"/>
  <c r="J11" i="3"/>
  <c r="I28" i="3"/>
  <c r="I22" i="3"/>
  <c r="I18" i="3"/>
  <c r="I14" i="3"/>
  <c r="I7" i="3"/>
  <c r="J3" i="3"/>
  <c r="J23" i="3"/>
  <c r="J19" i="3"/>
  <c r="J15" i="3"/>
  <c r="J9" i="3"/>
  <c r="I27" i="3"/>
  <c r="I21" i="3"/>
  <c r="I17" i="3"/>
  <c r="I13" i="3"/>
  <c r="I6" i="3"/>
  <c r="J2" i="3"/>
  <c r="I10" i="3"/>
  <c r="J29" i="3"/>
  <c r="I25" i="3"/>
  <c r="I5" i="3"/>
  <c r="I12" i="3"/>
  <c r="J25" i="3"/>
  <c r="J5" i="3"/>
  <c r="I29" i="3"/>
  <c r="I24" i="3"/>
  <c r="J10" i="3"/>
  <c r="J8" i="3"/>
  <c r="I4" i="3"/>
  <c r="I2" i="3"/>
  <c r="V55" i="11"/>
  <c r="D55" i="11"/>
  <c r="C1" i="10"/>
  <c r="M55" i="1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3" i="2"/>
  <c r="B3" i="6" l="1"/>
  <c r="F3" i="6" l="1"/>
  <c r="K3" i="6" s="1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3" i="6"/>
  <c r="C4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3" i="6"/>
  <c r="C5" i="6"/>
  <c r="B4" i="6"/>
  <c r="B5" i="6"/>
  <c r="B6" i="6"/>
  <c r="B7" i="6"/>
  <c r="B8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3" i="6"/>
  <c r="D4" i="6"/>
  <c r="D5" i="6"/>
  <c r="D6" i="6"/>
  <c r="D7" i="6"/>
  <c r="D8" i="6"/>
  <c r="D9" i="6"/>
  <c r="G3" i="6" l="1"/>
  <c r="G7" i="6"/>
  <c r="G24" i="6"/>
  <c r="F13" i="6"/>
  <c r="G22" i="6"/>
  <c r="F24" i="6"/>
  <c r="G20" i="6"/>
  <c r="F11" i="6"/>
  <c r="G23" i="6"/>
  <c r="F18" i="6"/>
  <c r="F27" i="6"/>
  <c r="G26" i="6"/>
  <c r="F8" i="6"/>
  <c r="F19" i="6"/>
  <c r="G9" i="6"/>
  <c r="L9" i="6" s="1"/>
  <c r="F6" i="6"/>
  <c r="F16" i="6"/>
  <c r="F10" i="6"/>
  <c r="F21" i="6"/>
  <c r="F4" i="6"/>
  <c r="F26" i="6"/>
  <c r="F12" i="6"/>
  <c r="F15" i="6"/>
  <c r="G4" i="6"/>
  <c r="G21" i="6"/>
  <c r="G13" i="6"/>
  <c r="G16" i="6"/>
  <c r="G6" i="6"/>
  <c r="G27" i="6"/>
  <c r="G19" i="6"/>
  <c r="G11" i="6"/>
  <c r="G15" i="6"/>
  <c r="F22" i="6"/>
  <c r="F14" i="6"/>
  <c r="G5" i="6"/>
  <c r="G18" i="6"/>
  <c r="G14" i="6"/>
  <c r="G10" i="6"/>
  <c r="F25" i="6"/>
  <c r="F17" i="6"/>
  <c r="G12" i="6"/>
  <c r="G8" i="6"/>
  <c r="G25" i="6"/>
  <c r="G17" i="6"/>
  <c r="F9" i="6"/>
  <c r="F20" i="6"/>
  <c r="F7" i="6"/>
  <c r="F23" i="6"/>
  <c r="K23" i="6" s="1"/>
  <c r="K27" i="6" l="1"/>
  <c r="S27" i="6" s="1"/>
  <c r="K20" i="6"/>
  <c r="S20" i="6" s="1"/>
  <c r="K14" i="6"/>
  <c r="O14" i="6" s="1"/>
  <c r="K12" i="6"/>
  <c r="O12" i="6" s="1"/>
  <c r="K10" i="6"/>
  <c r="O10" i="6" s="1"/>
  <c r="K19" i="6"/>
  <c r="O19" i="6" s="1"/>
  <c r="K18" i="6"/>
  <c r="W18" i="6" s="1"/>
  <c r="K24" i="6"/>
  <c r="S24" i="6" s="1"/>
  <c r="K7" i="6"/>
  <c r="S7" i="6" s="1"/>
  <c r="K25" i="6"/>
  <c r="O25" i="6" s="1"/>
  <c r="K15" i="6"/>
  <c r="S15" i="6" s="1"/>
  <c r="K9" i="6"/>
  <c r="O9" i="6" s="1"/>
  <c r="K22" i="6"/>
  <c r="W22" i="6" s="1"/>
  <c r="K26" i="6"/>
  <c r="W26" i="6" s="1"/>
  <c r="K16" i="6"/>
  <c r="S16" i="6" s="1"/>
  <c r="K8" i="6"/>
  <c r="W8" i="6" s="1"/>
  <c r="K21" i="6"/>
  <c r="S21" i="6" s="1"/>
  <c r="K17" i="6"/>
  <c r="O17" i="6" s="1"/>
  <c r="K4" i="6"/>
  <c r="S4" i="6" s="1"/>
  <c r="K6" i="6"/>
  <c r="W6" i="6" s="1"/>
  <c r="K11" i="6"/>
  <c r="S11" i="6" s="1"/>
  <c r="K13" i="6"/>
  <c r="S13" i="6" s="1"/>
  <c r="L17" i="6"/>
  <c r="P17" i="6" s="1"/>
  <c r="L18" i="6"/>
  <c r="T18" i="6" s="1"/>
  <c r="L15" i="6"/>
  <c r="P15" i="6" s="1"/>
  <c r="L6" i="6"/>
  <c r="X6" i="6" s="1"/>
  <c r="L4" i="6"/>
  <c r="P4" i="6" s="1"/>
  <c r="L26" i="6"/>
  <c r="X26" i="6" s="1"/>
  <c r="L25" i="6"/>
  <c r="P25" i="6" s="1"/>
  <c r="L5" i="6"/>
  <c r="P5" i="6" s="1"/>
  <c r="L11" i="6"/>
  <c r="P11" i="6" s="1"/>
  <c r="L16" i="6"/>
  <c r="T16" i="6" s="1"/>
  <c r="L20" i="6"/>
  <c r="P20" i="6" s="1"/>
  <c r="L24" i="6"/>
  <c r="X24" i="6" s="1"/>
  <c r="L8" i="6"/>
  <c r="P8" i="6" s="1"/>
  <c r="L10" i="6"/>
  <c r="P10" i="6" s="1"/>
  <c r="L19" i="6"/>
  <c r="P19" i="6" s="1"/>
  <c r="L13" i="6"/>
  <c r="X13" i="6" s="1"/>
  <c r="L7" i="6"/>
  <c r="P7" i="6" s="1"/>
  <c r="L12" i="6"/>
  <c r="X12" i="6" s="1"/>
  <c r="L14" i="6"/>
  <c r="P14" i="6" s="1"/>
  <c r="L27" i="6"/>
  <c r="T27" i="6" s="1"/>
  <c r="L21" i="6"/>
  <c r="P21" i="6" s="1"/>
  <c r="L23" i="6"/>
  <c r="T23" i="6" s="1"/>
  <c r="L22" i="6"/>
  <c r="P22" i="6" s="1"/>
  <c r="L3" i="6"/>
  <c r="P3" i="6" s="1"/>
  <c r="P9" i="6"/>
  <c r="F5" i="6"/>
  <c r="W27" i="6"/>
  <c r="H24" i="6"/>
  <c r="O18" i="6"/>
  <c r="S18" i="6"/>
  <c r="O11" i="6"/>
  <c r="O27" i="6"/>
  <c r="W11" i="6"/>
  <c r="W16" i="6"/>
  <c r="H4" i="6"/>
  <c r="O16" i="6"/>
  <c r="O21" i="6"/>
  <c r="W10" i="6"/>
  <c r="O15" i="6"/>
  <c r="S10" i="6"/>
  <c r="H20" i="6"/>
  <c r="W15" i="6"/>
  <c r="O4" i="6"/>
  <c r="S14" i="6"/>
  <c r="H26" i="6"/>
  <c r="W14" i="6"/>
  <c r="H17" i="6"/>
  <c r="H3" i="6"/>
  <c r="W4" i="6"/>
  <c r="W21" i="6"/>
  <c r="H18" i="6"/>
  <c r="H6" i="6"/>
  <c r="H13" i="6"/>
  <c r="X18" i="6"/>
  <c r="H8" i="6"/>
  <c r="H14" i="6"/>
  <c r="H9" i="6"/>
  <c r="H16" i="6"/>
  <c r="O20" i="6"/>
  <c r="H15" i="6"/>
  <c r="H10" i="6"/>
  <c r="H7" i="6"/>
  <c r="W25" i="6"/>
  <c r="S22" i="6"/>
  <c r="O22" i="6"/>
  <c r="O7" i="6"/>
  <c r="W7" i="6"/>
  <c r="H23" i="6"/>
  <c r="S23" i="6"/>
  <c r="W23" i="6"/>
  <c r="O23" i="6"/>
  <c r="S3" i="6"/>
  <c r="W3" i="6"/>
  <c r="O3" i="6"/>
  <c r="H21" i="6"/>
  <c r="H12" i="6"/>
  <c r="H25" i="6"/>
  <c r="H19" i="6"/>
  <c r="H11" i="6"/>
  <c r="H27" i="6"/>
  <c r="H22" i="6"/>
  <c r="O13" i="6" l="1"/>
  <c r="S26" i="6"/>
  <c r="W19" i="6"/>
  <c r="W20" i="6"/>
  <c r="O26" i="6"/>
  <c r="W17" i="6"/>
  <c r="W12" i="6"/>
  <c r="W24" i="6"/>
  <c r="O24" i="6"/>
  <c r="K5" i="6"/>
  <c r="W5" i="6" s="1"/>
  <c r="W13" i="6"/>
  <c r="O6" i="6"/>
  <c r="S17" i="6"/>
  <c r="S8" i="6"/>
  <c r="W9" i="6"/>
  <c r="S25" i="6"/>
  <c r="S19" i="6"/>
  <c r="S12" i="6"/>
  <c r="O8" i="6"/>
  <c r="S6" i="6"/>
  <c r="S9" i="6"/>
  <c r="T20" i="6"/>
  <c r="X20" i="6"/>
  <c r="X8" i="6"/>
  <c r="T11" i="6"/>
  <c r="T7" i="6"/>
  <c r="X17" i="6"/>
  <c r="T4" i="6"/>
  <c r="T8" i="6"/>
  <c r="X16" i="6"/>
  <c r="X11" i="6"/>
  <c r="X10" i="6"/>
  <c r="X25" i="6"/>
  <c r="T25" i="6"/>
  <c r="T19" i="6"/>
  <c r="T15" i="6"/>
  <c r="T14" i="6"/>
  <c r="X21" i="6"/>
  <c r="X5" i="6"/>
  <c r="I15" i="6"/>
  <c r="M15" i="6" s="1"/>
  <c r="J18" i="6"/>
  <c r="I4" i="6"/>
  <c r="M4" i="6" s="1"/>
  <c r="I13" i="6"/>
  <c r="M13" i="6" s="1"/>
  <c r="J16" i="6"/>
  <c r="J6" i="6"/>
  <c r="N6" i="6" s="1"/>
  <c r="J3" i="6"/>
  <c r="N3" i="6" s="1"/>
  <c r="R3" i="6" s="1"/>
  <c r="T22" i="6"/>
  <c r="X7" i="6"/>
  <c r="X3" i="6"/>
  <c r="T24" i="6"/>
  <c r="T5" i="6"/>
  <c r="T10" i="6"/>
  <c r="T12" i="6"/>
  <c r="T13" i="6"/>
  <c r="X27" i="6"/>
  <c r="T6" i="6"/>
  <c r="X23" i="6"/>
  <c r="P23" i="6"/>
  <c r="AA23" i="6" s="1"/>
  <c r="P27" i="6"/>
  <c r="P12" i="6"/>
  <c r="AA12" i="6" s="1"/>
  <c r="P13" i="6"/>
  <c r="P24" i="6"/>
  <c r="P16" i="6"/>
  <c r="P26" i="6"/>
  <c r="AA26" i="6" s="1"/>
  <c r="P6" i="6"/>
  <c r="P18" i="6"/>
  <c r="T26" i="6"/>
  <c r="X15" i="6"/>
  <c r="X19" i="6"/>
  <c r="X14" i="6"/>
  <c r="T17" i="6"/>
  <c r="T21" i="6"/>
  <c r="X4" i="6"/>
  <c r="X22" i="6"/>
  <c r="T3" i="6"/>
  <c r="X9" i="6"/>
  <c r="T9" i="6"/>
  <c r="H5" i="6"/>
  <c r="AA15" i="6"/>
  <c r="AA11" i="6"/>
  <c r="AA22" i="6"/>
  <c r="AA10" i="6"/>
  <c r="O5" i="6"/>
  <c r="S5" i="6"/>
  <c r="I24" i="6"/>
  <c r="M24" i="6" s="1"/>
  <c r="J24" i="6"/>
  <c r="N24" i="6" s="1"/>
  <c r="I23" i="6"/>
  <c r="J4" i="6"/>
  <c r="N4" i="6" s="1"/>
  <c r="J20" i="6"/>
  <c r="N20" i="6" s="1"/>
  <c r="I20" i="6"/>
  <c r="J13" i="6"/>
  <c r="J8" i="6"/>
  <c r="N8" i="6" s="1"/>
  <c r="I8" i="6"/>
  <c r="M8" i="6" s="1"/>
  <c r="I18" i="6"/>
  <c r="M18" i="6" s="1"/>
  <c r="I3" i="6"/>
  <c r="M3" i="6" s="1"/>
  <c r="J26" i="6"/>
  <c r="N26" i="6" s="1"/>
  <c r="V26" i="6" s="1"/>
  <c r="J17" i="6"/>
  <c r="I17" i="6"/>
  <c r="M17" i="6" s="1"/>
  <c r="J14" i="6"/>
  <c r="N14" i="6" s="1"/>
  <c r="I26" i="6"/>
  <c r="M26" i="6" s="1"/>
  <c r="I6" i="6"/>
  <c r="I14" i="6"/>
  <c r="I9" i="6"/>
  <c r="J15" i="6"/>
  <c r="J9" i="6"/>
  <c r="N9" i="6" s="1"/>
  <c r="I16" i="6"/>
  <c r="J10" i="6"/>
  <c r="I10" i="6"/>
  <c r="M10" i="6" s="1"/>
  <c r="I7" i="6"/>
  <c r="J23" i="6"/>
  <c r="J7" i="6"/>
  <c r="N7" i="6" s="1"/>
  <c r="I12" i="6"/>
  <c r="M12" i="6" s="1"/>
  <c r="Y12" i="6" s="1"/>
  <c r="I11" i="6"/>
  <c r="M11" i="6" s="1"/>
  <c r="I21" i="6"/>
  <c r="M21" i="6" s="1"/>
  <c r="I22" i="6"/>
  <c r="M22" i="6" s="1"/>
  <c r="I25" i="6"/>
  <c r="M25" i="6" s="1"/>
  <c r="J27" i="6"/>
  <c r="I27" i="6"/>
  <c r="J19" i="6"/>
  <c r="I19" i="6"/>
  <c r="M19" i="6" s="1"/>
  <c r="J11" i="6"/>
  <c r="N11" i="6" s="1"/>
  <c r="J21" i="6"/>
  <c r="N21" i="6" s="1"/>
  <c r="J22" i="6"/>
  <c r="N22" i="6" s="1"/>
  <c r="J25" i="6"/>
  <c r="N25" i="6" s="1"/>
  <c r="J12" i="6"/>
  <c r="N12" i="6" s="1"/>
  <c r="Q15" i="6" l="1"/>
  <c r="Y15" i="6"/>
  <c r="M14" i="6"/>
  <c r="Q14" i="6" s="1"/>
  <c r="Q25" i="6"/>
  <c r="M16" i="6"/>
  <c r="Q16" i="6" s="1"/>
  <c r="N23" i="6"/>
  <c r="V23" i="6" s="1"/>
  <c r="Q19" i="6"/>
  <c r="M20" i="6"/>
  <c r="Q20" i="6" s="1"/>
  <c r="M7" i="6"/>
  <c r="Y7" i="6" s="1"/>
  <c r="M23" i="6"/>
  <c r="Q23" i="6" s="1"/>
  <c r="N15" i="6"/>
  <c r="V15" i="6" s="1"/>
  <c r="R20" i="6"/>
  <c r="U15" i="6"/>
  <c r="N17" i="6"/>
  <c r="Z17" i="6" s="1"/>
  <c r="N19" i="6"/>
  <c r="R19" i="6" s="1"/>
  <c r="N10" i="6"/>
  <c r="R10" i="6" s="1"/>
  <c r="N16" i="6"/>
  <c r="R16" i="6" s="1"/>
  <c r="M9" i="6"/>
  <c r="Y9" i="6" s="1"/>
  <c r="Z6" i="6"/>
  <c r="V6" i="6"/>
  <c r="N13" i="6"/>
  <c r="R13" i="6" s="1"/>
  <c r="N27" i="6"/>
  <c r="R27" i="6" s="1"/>
  <c r="N18" i="6"/>
  <c r="Z18" i="6" s="1"/>
  <c r="Z4" i="6"/>
  <c r="R6" i="6"/>
  <c r="U4" i="6"/>
  <c r="Q4" i="6"/>
  <c r="Y4" i="6"/>
  <c r="U13" i="6"/>
  <c r="Y13" i="6"/>
  <c r="I5" i="6"/>
  <c r="M5" i="6" s="1"/>
  <c r="Q21" i="6"/>
  <c r="Q13" i="6"/>
  <c r="Q18" i="6"/>
  <c r="M6" i="6"/>
  <c r="Q6" i="6" s="1"/>
  <c r="M27" i="6"/>
  <c r="Q27" i="6" s="1"/>
  <c r="AA16" i="6"/>
  <c r="C15" i="5" s="1"/>
  <c r="V22" i="6"/>
  <c r="Z22" i="6"/>
  <c r="R22" i="6"/>
  <c r="Y26" i="6"/>
  <c r="Q26" i="6"/>
  <c r="U26" i="6"/>
  <c r="U22" i="6"/>
  <c r="Y22" i="6"/>
  <c r="Q22" i="6"/>
  <c r="V12" i="6"/>
  <c r="R12" i="6"/>
  <c r="Z12" i="6"/>
  <c r="Q12" i="6"/>
  <c r="U12" i="6"/>
  <c r="Z26" i="6"/>
  <c r="R26" i="6"/>
  <c r="AA5" i="6"/>
  <c r="AC5" i="6" s="1"/>
  <c r="AD5" i="6" s="1"/>
  <c r="G4" i="5" s="1"/>
  <c r="C9" i="5"/>
  <c r="B9" i="5"/>
  <c r="C25" i="5"/>
  <c r="B25" i="5"/>
  <c r="C22" i="5"/>
  <c r="B22" i="5"/>
  <c r="C14" i="5"/>
  <c r="B14" i="5"/>
  <c r="C21" i="5"/>
  <c r="B21" i="5"/>
  <c r="C10" i="5"/>
  <c r="B10" i="5"/>
  <c r="C11" i="5"/>
  <c r="B11" i="5"/>
  <c r="J5" i="6"/>
  <c r="Y24" i="6"/>
  <c r="Q24" i="6"/>
  <c r="U24" i="6"/>
  <c r="V24" i="6"/>
  <c r="R24" i="6"/>
  <c r="Z24" i="6"/>
  <c r="Z7" i="6"/>
  <c r="R7" i="6"/>
  <c r="V7" i="6"/>
  <c r="V25" i="6"/>
  <c r="R25" i="6"/>
  <c r="AA25" i="6" s="1"/>
  <c r="B24" i="5" s="1"/>
  <c r="Z25" i="6"/>
  <c r="Y25" i="6"/>
  <c r="U25" i="6"/>
  <c r="U7" i="6"/>
  <c r="Q7" i="6"/>
  <c r="AA7" i="6" s="1"/>
  <c r="AA19" i="6"/>
  <c r="AA20" i="6"/>
  <c r="Z3" i="6"/>
  <c r="V3" i="6"/>
  <c r="AB23" i="6"/>
  <c r="AC23" i="6"/>
  <c r="AD23" i="6" s="1"/>
  <c r="R17" i="6"/>
  <c r="V17" i="6"/>
  <c r="U17" i="6"/>
  <c r="Y17" i="6"/>
  <c r="Q17" i="6"/>
  <c r="Q10" i="6"/>
  <c r="Y10" i="6"/>
  <c r="U10" i="6"/>
  <c r="U8" i="6"/>
  <c r="Y8" i="6"/>
  <c r="Q8" i="6"/>
  <c r="V14" i="6"/>
  <c r="Z14" i="6"/>
  <c r="R14" i="6"/>
  <c r="AA14" i="6" s="1"/>
  <c r="B13" i="5" s="1"/>
  <c r="R8" i="6"/>
  <c r="Z8" i="6"/>
  <c r="V8" i="6"/>
  <c r="Y3" i="6"/>
  <c r="U3" i="6"/>
  <c r="Q3" i="6"/>
  <c r="AA3" i="6" s="1"/>
  <c r="U14" i="6"/>
  <c r="V20" i="6"/>
  <c r="Y20" i="6"/>
  <c r="Y14" i="6"/>
  <c r="Z10" i="6"/>
  <c r="Z20" i="6"/>
  <c r="U20" i="6"/>
  <c r="V10" i="6"/>
  <c r="Z9" i="6"/>
  <c r="R9" i="6"/>
  <c r="V9" i="6"/>
  <c r="Q9" i="6"/>
  <c r="U9" i="6"/>
  <c r="AC12" i="6"/>
  <c r="AD12" i="6" s="1"/>
  <c r="G11" i="5" s="1"/>
  <c r="AB12" i="6"/>
  <c r="E11" i="5" s="1"/>
  <c r="AC22" i="6"/>
  <c r="F21" i="5" s="1"/>
  <c r="AB22" i="6"/>
  <c r="E21" i="5" s="1"/>
  <c r="Y23" i="6"/>
  <c r="U23" i="6"/>
  <c r="R4" i="6"/>
  <c r="AC10" i="6"/>
  <c r="AD10" i="6" s="1"/>
  <c r="G9" i="5" s="1"/>
  <c r="AB10" i="6"/>
  <c r="E9" i="5" s="1"/>
  <c r="AC26" i="6"/>
  <c r="AD26" i="6" s="1"/>
  <c r="G25" i="5" s="1"/>
  <c r="AB26" i="6"/>
  <c r="E25" i="5" s="1"/>
  <c r="AB15" i="6"/>
  <c r="AC15" i="6"/>
  <c r="AD15" i="6" s="1"/>
  <c r="V4" i="6"/>
  <c r="Y16" i="6"/>
  <c r="U16" i="6"/>
  <c r="U18" i="6"/>
  <c r="Y18" i="6"/>
  <c r="R15" i="6"/>
  <c r="R23" i="6"/>
  <c r="Z15" i="6"/>
  <c r="Z23" i="6"/>
  <c r="Z11" i="6"/>
  <c r="R11" i="6"/>
  <c r="V11" i="6"/>
  <c r="R21" i="6"/>
  <c r="Z21" i="6"/>
  <c r="V21" i="6"/>
  <c r="Y11" i="6"/>
  <c r="Q11" i="6"/>
  <c r="U11" i="6"/>
  <c r="Y21" i="6"/>
  <c r="U21" i="6"/>
  <c r="V19" i="6"/>
  <c r="U19" i="6"/>
  <c r="Z19" i="6"/>
  <c r="Y19" i="6"/>
  <c r="Y5" i="6" l="1"/>
  <c r="U5" i="6"/>
  <c r="Q5" i="6"/>
  <c r="Z16" i="6"/>
  <c r="V16" i="6"/>
  <c r="N5" i="6"/>
  <c r="V5" i="6" s="1"/>
  <c r="U6" i="6"/>
  <c r="AB16" i="6"/>
  <c r="V27" i="6"/>
  <c r="V13" i="6"/>
  <c r="Y27" i="6"/>
  <c r="Z13" i="6"/>
  <c r="Z27" i="6"/>
  <c r="AC16" i="6"/>
  <c r="F15" i="5" s="1"/>
  <c r="AA6" i="6"/>
  <c r="B5" i="5" s="1"/>
  <c r="U27" i="6"/>
  <c r="AA21" i="6"/>
  <c r="C20" i="5" s="1"/>
  <c r="AA13" i="6"/>
  <c r="AB13" i="6" s="1"/>
  <c r="E12" i="5" s="1"/>
  <c r="R18" i="6"/>
  <c r="AA18" i="6" s="1"/>
  <c r="B17" i="5" s="1"/>
  <c r="AA27" i="6"/>
  <c r="B26" i="5" s="1"/>
  <c r="V18" i="6"/>
  <c r="Y6" i="6"/>
  <c r="C5" i="5"/>
  <c r="B15" i="5"/>
  <c r="R5" i="6"/>
  <c r="AB5" i="6"/>
  <c r="E4" i="5" s="1"/>
  <c r="B4" i="5"/>
  <c r="C4" i="5"/>
  <c r="C18" i="5"/>
  <c r="B18" i="5"/>
  <c r="C6" i="5"/>
  <c r="B6" i="5"/>
  <c r="C2" i="5"/>
  <c r="B2" i="5"/>
  <c r="C19" i="5"/>
  <c r="B19" i="5"/>
  <c r="Z5" i="6"/>
  <c r="AC3" i="6"/>
  <c r="F2" i="5" s="1"/>
  <c r="AB7" i="6"/>
  <c r="E6" i="5" s="1"/>
  <c r="AC7" i="6"/>
  <c r="F6" i="5" s="1"/>
  <c r="AC25" i="6"/>
  <c r="C24" i="5"/>
  <c r="AB25" i="6"/>
  <c r="E24" i="5" s="1"/>
  <c r="AB19" i="6"/>
  <c r="E18" i="5" s="1"/>
  <c r="AA24" i="6"/>
  <c r="AB20" i="6"/>
  <c r="E19" i="5" s="1"/>
  <c r="AC20" i="6"/>
  <c r="F19" i="5" s="1"/>
  <c r="AB3" i="6"/>
  <c r="E2" i="5" s="1"/>
  <c r="AA9" i="6"/>
  <c r="AA17" i="6"/>
  <c r="AA8" i="6"/>
  <c r="B7" i="5" s="1"/>
  <c r="C13" i="5"/>
  <c r="AB14" i="6"/>
  <c r="E13" i="5" s="1"/>
  <c r="AC14" i="6"/>
  <c r="F13" i="5" s="1"/>
  <c r="AD20" i="6"/>
  <c r="G19" i="5" s="1"/>
  <c r="AD7" i="6"/>
  <c r="G6" i="5" s="1"/>
  <c r="AA4" i="6"/>
  <c r="B3" i="5" s="1"/>
  <c r="AD22" i="6"/>
  <c r="G21" i="5" s="1"/>
  <c r="AD3" i="6"/>
  <c r="G2" i="5" s="1"/>
  <c r="AD14" i="6"/>
  <c r="G13" i="5" s="1"/>
  <c r="F4" i="5"/>
  <c r="F11" i="5"/>
  <c r="D11" i="5" s="1"/>
  <c r="F9" i="5"/>
  <c r="D9" i="5" s="1"/>
  <c r="AC19" i="6"/>
  <c r="AD19" i="6" s="1"/>
  <c r="G18" i="5" s="1"/>
  <c r="F25" i="5"/>
  <c r="D25" i="5" s="1"/>
  <c r="AD16" i="6"/>
  <c r="G15" i="5" s="1"/>
  <c r="AE26" i="6"/>
  <c r="H25" i="5" s="1"/>
  <c r="F14" i="5"/>
  <c r="E14" i="5"/>
  <c r="G14" i="5"/>
  <c r="D21" i="5"/>
  <c r="AE10" i="6"/>
  <c r="H9" i="5" s="1"/>
  <c r="G22" i="5"/>
  <c r="E22" i="5"/>
  <c r="F22" i="5"/>
  <c r="E15" i="5"/>
  <c r="AE12" i="6"/>
  <c r="H11" i="5" s="1"/>
  <c r="I5" i="8" l="1"/>
  <c r="G4" i="10" s="1"/>
  <c r="C17" i="5"/>
  <c r="AB18" i="6"/>
  <c r="E17" i="5" s="1"/>
  <c r="C26" i="5"/>
  <c r="AB6" i="6"/>
  <c r="E5" i="5" s="1"/>
  <c r="B20" i="5"/>
  <c r="E5" i="8" s="1"/>
  <c r="H5" i="8" s="1"/>
  <c r="AC21" i="6"/>
  <c r="AD21" i="6" s="1"/>
  <c r="G20" i="5" s="1"/>
  <c r="AB21" i="6"/>
  <c r="E20" i="5" s="1"/>
  <c r="I4" i="10"/>
  <c r="AB27" i="6"/>
  <c r="E26" i="5" s="1"/>
  <c r="AC27" i="6"/>
  <c r="F26" i="5" s="1"/>
  <c r="AC18" i="6"/>
  <c r="F17" i="5" s="1"/>
  <c r="AC13" i="6"/>
  <c r="F12" i="5" s="1"/>
  <c r="D12" i="5" s="1"/>
  <c r="AC6" i="6"/>
  <c r="F5" i="5" s="1"/>
  <c r="C12" i="5"/>
  <c r="B12" i="5"/>
  <c r="AE5" i="6"/>
  <c r="H4" i="5" s="1"/>
  <c r="D4" i="5"/>
  <c r="AB17" i="6"/>
  <c r="E16" i="5" s="1"/>
  <c r="B16" i="5"/>
  <c r="C8" i="5"/>
  <c r="B8" i="5"/>
  <c r="C23" i="5"/>
  <c r="B23" i="5"/>
  <c r="D2" i="5"/>
  <c r="D6" i="5"/>
  <c r="AB24" i="6"/>
  <c r="E23" i="5" s="1"/>
  <c r="AC24" i="6"/>
  <c r="AD24" i="6" s="1"/>
  <c r="G23" i="5" s="1"/>
  <c r="D19" i="5"/>
  <c r="AD25" i="6"/>
  <c r="G24" i="5" s="1"/>
  <c r="F24" i="5"/>
  <c r="D24" i="5" s="1"/>
  <c r="AB9" i="6"/>
  <c r="E8" i="5" s="1"/>
  <c r="AC9" i="6"/>
  <c r="C16" i="5"/>
  <c r="AC17" i="6"/>
  <c r="F16" i="5" s="1"/>
  <c r="D13" i="5"/>
  <c r="C7" i="5"/>
  <c r="AC8" i="6"/>
  <c r="F7" i="5" s="1"/>
  <c r="AB8" i="6"/>
  <c r="E7" i="5" s="1"/>
  <c r="AE20" i="6"/>
  <c r="H19" i="5" s="1"/>
  <c r="AE7" i="6"/>
  <c r="H6" i="5" s="1"/>
  <c r="AD18" i="6"/>
  <c r="G17" i="5" s="1"/>
  <c r="AC4" i="6"/>
  <c r="AD4" i="6" s="1"/>
  <c r="G3" i="5" s="1"/>
  <c r="AE22" i="6"/>
  <c r="H21" i="5" s="1"/>
  <c r="AB4" i="6"/>
  <c r="E3" i="5" s="1"/>
  <c r="C3" i="5"/>
  <c r="AE14" i="6"/>
  <c r="H13" i="5" s="1"/>
  <c r="AE3" i="6"/>
  <c r="H2" i="5" s="1"/>
  <c r="F18" i="5"/>
  <c r="D18" i="5" s="1"/>
  <c r="AD27" i="6"/>
  <c r="G26" i="5" s="1"/>
  <c r="AD13" i="6"/>
  <c r="G12" i="5" s="1"/>
  <c r="AE16" i="6"/>
  <c r="H15" i="5" s="1"/>
  <c r="D15" i="5"/>
  <c r="AC11" i="6"/>
  <c r="AD11" i="6" s="1"/>
  <c r="G10" i="5" s="1"/>
  <c r="AB11" i="6"/>
  <c r="E10" i="5" s="1"/>
  <c r="D14" i="5"/>
  <c r="AE15" i="6"/>
  <c r="H14" i="5" s="1"/>
  <c r="D22" i="5"/>
  <c r="AE23" i="6"/>
  <c r="H22" i="5" s="1"/>
  <c r="AE19" i="6"/>
  <c r="H18" i="5" s="1"/>
  <c r="AD6" i="6" l="1"/>
  <c r="G5" i="5" s="1"/>
  <c r="F20" i="5"/>
  <c r="D20" i="5" s="1"/>
  <c r="L5" i="8"/>
  <c r="J4" i="10" s="1"/>
  <c r="F4" i="10"/>
  <c r="D17" i="5"/>
  <c r="D5" i="5"/>
  <c r="C4" i="10"/>
  <c r="AE21" i="6"/>
  <c r="H20" i="5" s="1"/>
  <c r="D26" i="5"/>
  <c r="AE6" i="6"/>
  <c r="H5" i="5" s="1"/>
  <c r="D16" i="5"/>
  <c r="AD8" i="6"/>
  <c r="G7" i="5" s="1"/>
  <c r="AD17" i="6"/>
  <c r="G16" i="5" s="1"/>
  <c r="F23" i="5"/>
  <c r="D23" i="5" s="1"/>
  <c r="AE24" i="6"/>
  <c r="H23" i="5" s="1"/>
  <c r="AE25" i="6"/>
  <c r="H24" i="5" s="1"/>
  <c r="AD9" i="6"/>
  <c r="G8" i="5" s="1"/>
  <c r="F8" i="5"/>
  <c r="D8" i="5" s="1"/>
  <c r="D7" i="5"/>
  <c r="F3" i="5"/>
  <c r="D3" i="5" s="1"/>
  <c r="AE18" i="6"/>
  <c r="H17" i="5" s="1"/>
  <c r="AE4" i="6"/>
  <c r="H3" i="5" s="1"/>
  <c r="AE27" i="6"/>
  <c r="H26" i="5" s="1"/>
  <c r="E27" i="5"/>
  <c r="AE13" i="6"/>
  <c r="H12" i="5" s="1"/>
  <c r="F10" i="5"/>
  <c r="AE11" i="6"/>
  <c r="H10" i="5" s="1"/>
  <c r="M5" i="8" l="1"/>
  <c r="AE8" i="6"/>
  <c r="H7" i="5" s="1"/>
  <c r="AE17" i="6"/>
  <c r="H16" i="5" s="1"/>
  <c r="G27" i="5"/>
  <c r="AE9" i="6"/>
  <c r="H8" i="5" s="1"/>
  <c r="D10" i="5"/>
  <c r="D27" i="5" s="1"/>
  <c r="F27" i="5"/>
  <c r="O5" i="8" l="1"/>
  <c r="P5" i="8"/>
  <c r="N5" i="8"/>
  <c r="K4" i="10" s="1"/>
  <c r="H27" i="5"/>
  <c r="D28" i="5" s="1"/>
  <c r="A6" i="8" l="1"/>
  <c r="D6" i="8" s="1"/>
  <c r="K6" i="8" l="1"/>
  <c r="I5" i="10" s="1"/>
  <c r="I6" i="8"/>
  <c r="G5" i="10" s="1"/>
  <c r="J6" i="8"/>
  <c r="H5" i="10" s="1"/>
  <c r="G6" i="8"/>
  <c r="E5" i="10" s="1"/>
  <c r="E6" i="8"/>
  <c r="F6" i="8"/>
  <c r="D5" i="10" s="1"/>
  <c r="A5" i="10"/>
  <c r="B7" i="8"/>
  <c r="C7" i="8"/>
  <c r="B5" i="10"/>
  <c r="L6" i="8" l="1"/>
  <c r="J5" i="10" s="1"/>
  <c r="H6" i="8"/>
  <c r="C5" i="10"/>
  <c r="F5" i="10" l="1"/>
  <c r="M6" i="8"/>
  <c r="R6" i="8" l="1"/>
  <c r="S6" i="8"/>
  <c r="Q6" i="8"/>
  <c r="N6" i="8"/>
  <c r="K5" i="10" s="1"/>
  <c r="P6" i="8"/>
  <c r="A7" i="8" s="1"/>
  <c r="D7" i="8" s="1"/>
  <c r="O6" i="8"/>
  <c r="K7" i="8" l="1"/>
  <c r="I6" i="10" s="1"/>
  <c r="I7" i="8"/>
  <c r="G6" i="10" s="1"/>
  <c r="J7" i="8"/>
  <c r="H6" i="10" s="1"/>
  <c r="G7" i="8"/>
  <c r="E6" i="10" s="1"/>
  <c r="E7" i="8"/>
  <c r="C6" i="10" s="1"/>
  <c r="F7" i="8"/>
  <c r="D6" i="10" s="1"/>
  <c r="A6" i="10"/>
  <c r="B8" i="8"/>
  <c r="C8" i="8"/>
  <c r="B6" i="10"/>
  <c r="L7" i="8" l="1"/>
  <c r="J6" i="10" s="1"/>
  <c r="H7" i="8"/>
  <c r="F6" i="10" l="1"/>
  <c r="M7" i="8"/>
  <c r="S7" i="8" s="1"/>
  <c r="Q7" i="8" l="1"/>
  <c r="R7" i="8"/>
  <c r="O7" i="8"/>
  <c r="P7" i="8"/>
  <c r="A8" i="8" s="1"/>
  <c r="A7" i="10" s="1"/>
  <c r="N7" i="8"/>
  <c r="K6" i="10" s="1"/>
  <c r="D8" i="8" l="1"/>
  <c r="K8" i="8" l="1"/>
  <c r="I7" i="10" s="1"/>
  <c r="I8" i="8"/>
  <c r="G7" i="10" s="1"/>
  <c r="J8" i="8"/>
  <c r="H7" i="10" s="1"/>
  <c r="G8" i="8"/>
  <c r="E7" i="10" s="1"/>
  <c r="E8" i="8"/>
  <c r="C7" i="10" s="1"/>
  <c r="F8" i="8"/>
  <c r="D7" i="10" s="1"/>
  <c r="C9" i="8"/>
  <c r="B9" i="8"/>
  <c r="B7" i="10"/>
  <c r="L8" i="8" l="1"/>
  <c r="J7" i="10" s="1"/>
  <c r="H8" i="8"/>
  <c r="F7" i="10" l="1"/>
  <c r="M8" i="8"/>
  <c r="S8" i="8" s="1"/>
  <c r="Q8" i="8" l="1"/>
  <c r="R8" i="8"/>
  <c r="O8" i="8"/>
  <c r="P8" i="8"/>
  <c r="A9" i="8" s="1"/>
  <c r="A8" i="10" s="1"/>
  <c r="N8" i="8"/>
  <c r="K7" i="10" s="1"/>
  <c r="D9" i="8" l="1"/>
  <c r="G9" i="8" l="1"/>
  <c r="E8" i="10" s="1"/>
  <c r="E9" i="8"/>
  <c r="C8" i="10" s="1"/>
  <c r="B8" i="10"/>
  <c r="J9" i="8"/>
  <c r="H8" i="10" s="1"/>
  <c r="F9" i="8"/>
  <c r="D8" i="10" s="1"/>
  <c r="I9" i="8"/>
  <c r="G8" i="10" s="1"/>
  <c r="C10" i="8"/>
  <c r="B10" i="8"/>
  <c r="K9" i="8"/>
  <c r="I8" i="10" s="1"/>
  <c r="H9" i="8" l="1"/>
  <c r="F8" i="10" s="1"/>
  <c r="L9" i="8"/>
  <c r="J8" i="10" s="1"/>
  <c r="M9" i="8" l="1"/>
  <c r="S9" i="8" s="1"/>
  <c r="Q9" i="8" l="1"/>
  <c r="R9" i="8"/>
  <c r="O9" i="8"/>
  <c r="P9" i="8"/>
  <c r="A10" i="8" s="1"/>
  <c r="A9" i="10" s="1"/>
  <c r="N9" i="8"/>
  <c r="K8" i="10" s="1"/>
  <c r="D10" i="8" l="1"/>
  <c r="I10" i="8" l="1"/>
  <c r="G9" i="10" s="1"/>
  <c r="B9" i="10"/>
  <c r="E10" i="8"/>
  <c r="C9" i="10" s="1"/>
  <c r="K10" i="8"/>
  <c r="I9" i="10" s="1"/>
  <c r="B11" i="8"/>
  <c r="G10" i="8"/>
  <c r="E9" i="10" s="1"/>
  <c r="C11" i="8"/>
  <c r="J10" i="8"/>
  <c r="H9" i="10" s="1"/>
  <c r="F10" i="8"/>
  <c r="D9" i="10" s="1"/>
  <c r="L10" i="8" l="1"/>
  <c r="J9" i="10" s="1"/>
  <c r="H10" i="8"/>
  <c r="M10" i="8" l="1"/>
  <c r="S10" i="8" s="1"/>
  <c r="F9" i="10"/>
  <c r="Q10" i="8" l="1"/>
  <c r="R10" i="8"/>
  <c r="O10" i="8"/>
  <c r="P10" i="8"/>
  <c r="A11" i="8" s="1"/>
  <c r="A10" i="10" s="1"/>
  <c r="N10" i="8"/>
  <c r="K9" i="10" s="1"/>
  <c r="D11" i="8" l="1"/>
  <c r="K11" i="8" l="1"/>
  <c r="I10" i="10" s="1"/>
  <c r="I11" i="8"/>
  <c r="G10" i="10" s="1"/>
  <c r="C12" i="8"/>
  <c r="B12" i="8"/>
  <c r="F11" i="8"/>
  <c r="D10" i="10" s="1"/>
  <c r="G11" i="8"/>
  <c r="E10" i="10" s="1"/>
  <c r="B10" i="10"/>
  <c r="E11" i="8"/>
  <c r="C10" i="10" s="1"/>
  <c r="J11" i="8"/>
  <c r="H10" i="10" s="1"/>
  <c r="L11" i="8" l="1"/>
  <c r="J10" i="10" s="1"/>
  <c r="H11" i="8"/>
  <c r="M11" i="8" l="1"/>
  <c r="S11" i="8" s="1"/>
  <c r="F10" i="10"/>
  <c r="Q11" i="8" l="1"/>
  <c r="R11" i="8"/>
  <c r="P11" i="8"/>
  <c r="A12" i="8" s="1"/>
  <c r="A11" i="10" s="1"/>
  <c r="O11" i="8"/>
  <c r="N11" i="8"/>
  <c r="K10" i="10" s="1"/>
  <c r="D12" i="8" l="1"/>
  <c r="K12" i="8" l="1"/>
  <c r="I11" i="10" s="1"/>
  <c r="B13" i="8"/>
  <c r="G12" i="8"/>
  <c r="E11" i="10" s="1"/>
  <c r="I12" i="8"/>
  <c r="G11" i="10" s="1"/>
  <c r="J12" i="8"/>
  <c r="H11" i="10" s="1"/>
  <c r="C13" i="8"/>
  <c r="F12" i="8"/>
  <c r="D11" i="10" s="1"/>
  <c r="E12" i="8"/>
  <c r="C11" i="10" s="1"/>
  <c r="B11" i="10"/>
  <c r="L12" i="8" l="1"/>
  <c r="J11" i="10" s="1"/>
  <c r="H12" i="8"/>
  <c r="M12" i="8" l="1"/>
  <c r="S12" i="8" s="1"/>
  <c r="F11" i="10"/>
  <c r="Q12" i="8" l="1"/>
  <c r="R12" i="8"/>
  <c r="O12" i="8"/>
  <c r="P12" i="8"/>
  <c r="A13" i="8" s="1"/>
  <c r="A12" i="10" s="1"/>
  <c r="N12" i="8"/>
  <c r="K11" i="10" s="1"/>
  <c r="D13" i="8" l="1"/>
  <c r="I13" i="8" l="1"/>
  <c r="G12" i="10" s="1"/>
  <c r="F13" i="8"/>
  <c r="D12" i="10" s="1"/>
  <c r="J13" i="8"/>
  <c r="H12" i="10" s="1"/>
  <c r="G13" i="8"/>
  <c r="E12" i="10" s="1"/>
  <c r="K13" i="8"/>
  <c r="I12" i="10" s="1"/>
  <c r="E13" i="8"/>
  <c r="C12" i="10" s="1"/>
  <c r="C14" i="8"/>
  <c r="B12" i="10"/>
  <c r="B14" i="8"/>
  <c r="H13" i="8" l="1"/>
  <c r="L13" i="8"/>
  <c r="J12" i="10" s="1"/>
  <c r="F12" i="10" l="1"/>
  <c r="M13" i="8"/>
  <c r="S13" i="8" s="1"/>
  <c r="Q13" i="8" l="1"/>
  <c r="R13" i="8"/>
  <c r="P13" i="8"/>
  <c r="A14" i="8" s="1"/>
  <c r="A13" i="10" s="1"/>
  <c r="N13" i="8"/>
  <c r="K12" i="10" s="1"/>
  <c r="O13" i="8"/>
  <c r="D14" i="8" l="1"/>
  <c r="K14" i="8" l="1"/>
  <c r="I13" i="10" s="1"/>
  <c r="B15" i="8"/>
  <c r="E14" i="8"/>
  <c r="C13" i="10" s="1"/>
  <c r="G14" i="8"/>
  <c r="E13" i="10" s="1"/>
  <c r="B13" i="10"/>
  <c r="I14" i="8"/>
  <c r="G13" i="10" s="1"/>
  <c r="C15" i="8"/>
  <c r="J14" i="8"/>
  <c r="H13" i="10" s="1"/>
  <c r="F14" i="8"/>
  <c r="D13" i="10" s="1"/>
  <c r="H14" i="8" l="1"/>
  <c r="F13" i="10" s="1"/>
  <c r="L14" i="8"/>
  <c r="J13" i="10" s="1"/>
  <c r="M14" i="8" l="1"/>
  <c r="S14" i="8" s="1"/>
  <c r="Q14" i="8" l="1"/>
  <c r="R14" i="8"/>
  <c r="P14" i="8"/>
  <c r="N14" i="8"/>
  <c r="K13" i="10" s="1"/>
  <c r="O14" i="8"/>
  <c r="A15" i="8" l="1"/>
  <c r="A14" i="10" s="1"/>
  <c r="D15" i="8" l="1"/>
  <c r="I15" i="8" l="1"/>
  <c r="G14" i="10" s="1"/>
  <c r="F15" i="8"/>
  <c r="D14" i="10" s="1"/>
  <c r="B16" i="8"/>
  <c r="B14" i="10"/>
  <c r="K15" i="8"/>
  <c r="I14" i="10" s="1"/>
  <c r="C16" i="8"/>
  <c r="E15" i="8"/>
  <c r="C14" i="10" s="1"/>
  <c r="J15" i="8"/>
  <c r="H14" i="10" s="1"/>
  <c r="G15" i="8"/>
  <c r="E14" i="10" s="1"/>
  <c r="H15" i="8" l="1"/>
  <c r="F14" i="10" s="1"/>
  <c r="L15" i="8"/>
  <c r="J14" i="10" s="1"/>
  <c r="M15" i="8" l="1"/>
  <c r="S15" i="8" s="1"/>
  <c r="Q15" i="8" l="1"/>
  <c r="R15" i="8"/>
  <c r="O15" i="8"/>
  <c r="P15" i="8"/>
  <c r="N15" i="8"/>
  <c r="K14" i="10" s="1"/>
  <c r="A16" i="8" l="1"/>
  <c r="A15" i="10" s="1"/>
  <c r="D16" i="8" l="1"/>
  <c r="J16" i="8" l="1"/>
  <c r="H15" i="10" s="1"/>
  <c r="G16" i="8"/>
  <c r="E15" i="10" s="1"/>
  <c r="K16" i="8"/>
  <c r="I15" i="10" s="1"/>
  <c r="E16" i="8"/>
  <c r="C15" i="10" s="1"/>
  <c r="C17" i="8"/>
  <c r="I16" i="8"/>
  <c r="G15" i="10" s="1"/>
  <c r="F16" i="8"/>
  <c r="D15" i="10" s="1"/>
  <c r="B17" i="8"/>
  <c r="B15" i="10"/>
  <c r="H16" i="8" l="1"/>
  <c r="L16" i="8"/>
  <c r="J15" i="10" s="1"/>
  <c r="F15" i="10" l="1"/>
  <c r="M16" i="8"/>
  <c r="S16" i="8" s="1"/>
  <c r="Q16" i="8" l="1"/>
  <c r="R16" i="8"/>
  <c r="P16" i="8"/>
  <c r="A17" i="8" s="1"/>
  <c r="A16" i="10" s="1"/>
  <c r="N16" i="8"/>
  <c r="K15" i="10" s="1"/>
  <c r="O16" i="8"/>
  <c r="D17" i="8" l="1"/>
  <c r="B16" i="10" l="1"/>
  <c r="I17" i="8"/>
  <c r="G16" i="10" s="1"/>
  <c r="G17" i="8"/>
  <c r="E16" i="10" s="1"/>
  <c r="E17" i="8"/>
  <c r="C16" i="10" s="1"/>
  <c r="K17" i="8"/>
  <c r="I16" i="10" s="1"/>
  <c r="B18" i="8"/>
  <c r="J17" i="8"/>
  <c r="H16" i="10" s="1"/>
  <c r="C18" i="8"/>
  <c r="F17" i="8"/>
  <c r="D16" i="10" s="1"/>
  <c r="L17" i="8" l="1"/>
  <c r="J16" i="10" s="1"/>
  <c r="H17" i="8"/>
  <c r="F16" i="10" l="1"/>
  <c r="M17" i="8"/>
  <c r="S17" i="8" s="1"/>
  <c r="Q17" i="8" l="1"/>
  <c r="R17" i="8"/>
  <c r="O17" i="8"/>
  <c r="P17" i="8"/>
  <c r="N17" i="8"/>
  <c r="K16" i="10" s="1"/>
  <c r="A18" i="8" l="1"/>
  <c r="A17" i="10" s="1"/>
  <c r="D18" i="8" l="1"/>
  <c r="I18" i="8" l="1"/>
  <c r="G17" i="10" s="1"/>
  <c r="G18" i="8"/>
  <c r="E17" i="10" s="1"/>
  <c r="C19" i="8"/>
  <c r="F18" i="8"/>
  <c r="D17" i="10" s="1"/>
  <c r="E18" i="8"/>
  <c r="C17" i="10" s="1"/>
  <c r="B19" i="8"/>
  <c r="K18" i="8"/>
  <c r="I17" i="10" s="1"/>
  <c r="J18" i="8"/>
  <c r="H17" i="10" s="1"/>
  <c r="B17" i="10"/>
  <c r="H18" i="8" l="1"/>
  <c r="L18" i="8"/>
  <c r="J17" i="10" s="1"/>
  <c r="F17" i="10" l="1"/>
  <c r="M18" i="8"/>
  <c r="S18" i="8" s="1"/>
  <c r="Q18" i="8" l="1"/>
  <c r="R18" i="8"/>
  <c r="O18" i="8"/>
  <c r="N18" i="8"/>
  <c r="K17" i="10" s="1"/>
  <c r="P18" i="8"/>
  <c r="A19" i="8" l="1"/>
  <c r="A18" i="10" s="1"/>
  <c r="D19" i="8" l="1"/>
  <c r="C20" i="8" l="1"/>
  <c r="K19" i="8"/>
  <c r="I18" i="10" s="1"/>
  <c r="J19" i="8"/>
  <c r="H18" i="10" s="1"/>
  <c r="I19" i="8"/>
  <c r="G18" i="10" s="1"/>
  <c r="F19" i="8"/>
  <c r="D18" i="10" s="1"/>
  <c r="G19" i="8"/>
  <c r="E18" i="10" s="1"/>
  <c r="E19" i="8"/>
  <c r="C18" i="10" s="1"/>
  <c r="B18" i="10"/>
  <c r="B20" i="8"/>
  <c r="H19" i="8" l="1"/>
  <c r="L19" i="8"/>
  <c r="J18" i="10" s="1"/>
  <c r="F18" i="10" l="1"/>
  <c r="M19" i="8"/>
  <c r="S19" i="8" s="1"/>
  <c r="Q19" i="8" l="1"/>
  <c r="R19" i="8"/>
  <c r="O19" i="8"/>
  <c r="N19" i="8"/>
  <c r="K18" i="10" s="1"/>
  <c r="P19" i="8"/>
  <c r="A20" i="8" l="1"/>
  <c r="A19" i="10" s="1"/>
  <c r="D20" i="8" l="1"/>
  <c r="J20" i="8" l="1"/>
  <c r="H19" i="10" s="1"/>
  <c r="I20" i="8"/>
  <c r="G19" i="10" s="1"/>
  <c r="E20" i="8"/>
  <c r="C19" i="10" s="1"/>
  <c r="B21" i="8"/>
  <c r="B19" i="10"/>
  <c r="G20" i="8"/>
  <c r="E19" i="10" s="1"/>
  <c r="K20" i="8"/>
  <c r="I19" i="10" s="1"/>
  <c r="C21" i="8"/>
  <c r="F20" i="8"/>
  <c r="D19" i="10" s="1"/>
  <c r="L20" i="8" l="1"/>
  <c r="J19" i="10" s="1"/>
  <c r="H20" i="8"/>
  <c r="F19" i="10" l="1"/>
  <c r="M20" i="8"/>
  <c r="S20" i="8" s="1"/>
  <c r="Q20" i="8" l="1"/>
  <c r="R20" i="8"/>
  <c r="P20" i="8"/>
  <c r="O20" i="8"/>
  <c r="N20" i="8"/>
  <c r="K19" i="10" s="1"/>
  <c r="A21" i="8" l="1"/>
  <c r="A20" i="10" s="1"/>
  <c r="D21" i="8" l="1"/>
  <c r="K21" i="8" l="1"/>
  <c r="I20" i="10" s="1"/>
  <c r="J21" i="8"/>
  <c r="H20" i="10" s="1"/>
  <c r="I21" i="8"/>
  <c r="G20" i="10" s="1"/>
  <c r="G21" i="8"/>
  <c r="E20" i="10" s="1"/>
  <c r="E21" i="8"/>
  <c r="C20" i="10" s="1"/>
  <c r="C22" i="8"/>
  <c r="B22" i="8"/>
  <c r="F21" i="8"/>
  <c r="D20" i="10" s="1"/>
  <c r="B20" i="10"/>
  <c r="L21" i="8" l="1"/>
  <c r="J20" i="10" s="1"/>
  <c r="H21" i="8"/>
  <c r="F20" i="10" l="1"/>
  <c r="M21" i="8"/>
  <c r="S21" i="8" s="1"/>
  <c r="Q21" i="8" l="1"/>
  <c r="R21" i="8"/>
  <c r="N21" i="8"/>
  <c r="K20" i="10" s="1"/>
  <c r="O21" i="8"/>
  <c r="P21" i="8"/>
  <c r="A22" i="8" l="1"/>
  <c r="A21" i="10" s="1"/>
  <c r="D22" i="8" l="1"/>
  <c r="G22" i="8" l="1"/>
  <c r="E21" i="10" s="1"/>
  <c r="B23" i="8"/>
  <c r="K22" i="8"/>
  <c r="I21" i="10" s="1"/>
  <c r="B21" i="10"/>
  <c r="C23" i="8"/>
  <c r="E22" i="8"/>
  <c r="C21" i="10" s="1"/>
  <c r="F22" i="8"/>
  <c r="D21" i="10" s="1"/>
  <c r="I22" i="8"/>
  <c r="G21" i="10" s="1"/>
  <c r="J22" i="8"/>
  <c r="H21" i="10" s="1"/>
  <c r="H22" i="8" l="1"/>
  <c r="L22" i="8"/>
  <c r="J21" i="10" s="1"/>
  <c r="F21" i="10" l="1"/>
  <c r="M22" i="8"/>
  <c r="S22" i="8" s="1"/>
  <c r="Q22" i="8" l="1"/>
  <c r="R22" i="8"/>
  <c r="N22" i="8"/>
  <c r="K21" i="10" s="1"/>
  <c r="O22" i="8"/>
  <c r="P22" i="8"/>
  <c r="A23" i="8" l="1"/>
  <c r="A22" i="10" s="1"/>
  <c r="D23" i="8" l="1"/>
  <c r="J23" i="8" l="1"/>
  <c r="H22" i="10" s="1"/>
  <c r="F23" i="8"/>
  <c r="D22" i="10" s="1"/>
  <c r="C24" i="8"/>
  <c r="K23" i="8"/>
  <c r="I22" i="10" s="1"/>
  <c r="B22" i="10"/>
  <c r="B24" i="8"/>
  <c r="G23" i="8"/>
  <c r="E22" i="10" s="1"/>
  <c r="E23" i="8"/>
  <c r="C22" i="10" s="1"/>
  <c r="I23" i="8"/>
  <c r="G22" i="10" s="1"/>
  <c r="H23" i="8" l="1"/>
  <c r="L23" i="8"/>
  <c r="J22" i="10" s="1"/>
  <c r="F22" i="10" l="1"/>
  <c r="M23" i="8"/>
  <c r="S23" i="8" s="1"/>
  <c r="Q23" i="8" l="1"/>
  <c r="R23" i="8"/>
  <c r="N23" i="8"/>
  <c r="K22" i="10" s="1"/>
  <c r="O23" i="8"/>
  <c r="P23" i="8"/>
  <c r="A24" i="8" l="1"/>
  <c r="A23" i="10" s="1"/>
  <c r="D24" i="8" l="1"/>
  <c r="E24" i="8" l="1"/>
  <c r="C23" i="10" s="1"/>
  <c r="B23" i="10"/>
  <c r="I24" i="8"/>
  <c r="G23" i="10" s="1"/>
  <c r="C25" i="8"/>
  <c r="J24" i="8"/>
  <c r="H23" i="10" s="1"/>
  <c r="G24" i="8"/>
  <c r="E23" i="10" s="1"/>
  <c r="B25" i="8"/>
  <c r="K24" i="8"/>
  <c r="I23" i="10" s="1"/>
  <c r="F24" i="8"/>
  <c r="D23" i="10" s="1"/>
  <c r="H24" i="8" l="1"/>
  <c r="L24" i="8"/>
  <c r="J23" i="10" s="1"/>
  <c r="F23" i="10" l="1"/>
  <c r="M24" i="8"/>
  <c r="S24" i="8" s="1"/>
  <c r="Q24" i="8" l="1"/>
  <c r="R24" i="8"/>
  <c r="P24" i="8"/>
  <c r="N24" i="8"/>
  <c r="K23" i="10" s="1"/>
  <c r="O24" i="8"/>
  <c r="A25" i="8" l="1"/>
  <c r="A24" i="10" s="1"/>
  <c r="D25" i="8" l="1"/>
  <c r="I25" i="8" l="1"/>
  <c r="G24" i="10" s="1"/>
  <c r="E25" i="8"/>
  <c r="C24" i="10" s="1"/>
  <c r="B24" i="10"/>
  <c r="J25" i="8"/>
  <c r="H24" i="10" s="1"/>
  <c r="F25" i="8"/>
  <c r="D24" i="10" s="1"/>
  <c r="C26" i="8"/>
  <c r="K25" i="8"/>
  <c r="I24" i="10" s="1"/>
  <c r="G25" i="8"/>
  <c r="E24" i="10" s="1"/>
  <c r="B26" i="8"/>
  <c r="H25" i="8" l="1"/>
  <c r="L25" i="8"/>
  <c r="J24" i="10" s="1"/>
  <c r="F24" i="10" l="1"/>
  <c r="M25" i="8"/>
  <c r="S25" i="8" s="1"/>
  <c r="Q25" i="8" l="1"/>
  <c r="R25" i="8"/>
  <c r="N25" i="8"/>
  <c r="K24" i="10" s="1"/>
  <c r="O25" i="8"/>
  <c r="P25" i="8"/>
  <c r="A26" i="8" l="1"/>
  <c r="A25" i="10" s="1"/>
  <c r="D26" i="8" l="1"/>
  <c r="B27" i="8" l="1"/>
  <c r="K26" i="8"/>
  <c r="I25" i="10" s="1"/>
  <c r="I26" i="8"/>
  <c r="G25" i="10" s="1"/>
  <c r="E26" i="8"/>
  <c r="C25" i="10" s="1"/>
  <c r="B25" i="10"/>
  <c r="J26" i="8"/>
  <c r="H25" i="10" s="1"/>
  <c r="G26" i="8"/>
  <c r="E25" i="10" s="1"/>
  <c r="F26" i="8"/>
  <c r="D25" i="10" s="1"/>
  <c r="C27" i="8"/>
  <c r="H26" i="8" l="1"/>
  <c r="L26" i="8"/>
  <c r="J25" i="10" s="1"/>
  <c r="F25" i="10" l="1"/>
  <c r="M26" i="8"/>
  <c r="S26" i="8" s="1"/>
  <c r="Q26" i="8" l="1"/>
  <c r="R26" i="8"/>
  <c r="P26" i="8"/>
  <c r="O26" i="8"/>
  <c r="N26" i="8"/>
  <c r="K25" i="10" s="1"/>
  <c r="A27" i="8" l="1"/>
  <c r="A26" i="10" s="1"/>
  <c r="D27" i="8" l="1"/>
  <c r="E27" i="8" l="1"/>
  <c r="C26" i="10" s="1"/>
  <c r="B28" i="8"/>
  <c r="F27" i="8"/>
  <c r="D26" i="10" s="1"/>
  <c r="J27" i="8"/>
  <c r="H26" i="10" s="1"/>
  <c r="G27" i="8"/>
  <c r="E26" i="10" s="1"/>
  <c r="B26" i="10"/>
  <c r="I27" i="8"/>
  <c r="G26" i="10" s="1"/>
  <c r="C28" i="8"/>
  <c r="K27" i="8"/>
  <c r="I26" i="10" s="1"/>
  <c r="H27" i="8" l="1"/>
  <c r="L27" i="8"/>
  <c r="J26" i="10" s="1"/>
  <c r="F26" i="10" l="1"/>
  <c r="M27" i="8"/>
  <c r="S27" i="8" s="1"/>
  <c r="Q27" i="8" l="1"/>
  <c r="R27" i="8"/>
  <c r="O27" i="8"/>
  <c r="P27" i="8"/>
  <c r="N27" i="8"/>
  <c r="K26" i="10" s="1"/>
  <c r="A28" i="8" l="1"/>
  <c r="A27" i="10" s="1"/>
  <c r="D28" i="8" l="1"/>
  <c r="I28" i="8" l="1"/>
  <c r="G27" i="10" s="1"/>
  <c r="E28" i="8"/>
  <c r="C27" i="10" s="1"/>
  <c r="B27" i="10"/>
  <c r="J28" i="8"/>
  <c r="H27" i="10" s="1"/>
  <c r="F28" i="8"/>
  <c r="D27" i="10" s="1"/>
  <c r="C29" i="8"/>
  <c r="K28" i="8"/>
  <c r="I27" i="10" s="1"/>
  <c r="G28" i="8"/>
  <c r="E27" i="10" s="1"/>
  <c r="B29" i="8"/>
  <c r="L28" i="8" l="1"/>
  <c r="J27" i="10" s="1"/>
  <c r="H28" i="8"/>
  <c r="F27" i="10" l="1"/>
  <c r="M28" i="8"/>
  <c r="S28" i="8" s="1"/>
  <c r="Q28" i="8" l="1"/>
  <c r="R28" i="8"/>
  <c r="N28" i="8"/>
  <c r="K27" i="10" s="1"/>
  <c r="O28" i="8"/>
  <c r="P28" i="8"/>
  <c r="A29" i="8" l="1"/>
  <c r="A28" i="10" s="1"/>
  <c r="D29" i="8" l="1"/>
  <c r="I29" i="8" l="1"/>
  <c r="G28" i="10" s="1"/>
  <c r="E29" i="8"/>
  <c r="C28" i="10" s="1"/>
  <c r="B30" i="8"/>
  <c r="J29" i="8"/>
  <c r="H28" i="10" s="1"/>
  <c r="F29" i="8"/>
  <c r="D28" i="10" s="1"/>
  <c r="C30" i="8"/>
  <c r="G29" i="8"/>
  <c r="E28" i="10" s="1"/>
  <c r="B28" i="10"/>
  <c r="K29" i="8"/>
  <c r="I28" i="10" s="1"/>
  <c r="L29" i="8" l="1"/>
  <c r="J28" i="10" s="1"/>
  <c r="H29" i="8"/>
  <c r="F28" i="10" l="1"/>
  <c r="M29" i="8"/>
  <c r="S29" i="8" s="1"/>
  <c r="Q29" i="8" l="1"/>
  <c r="R29" i="8"/>
  <c r="P29" i="8"/>
  <c r="A30" i="8" s="1"/>
  <c r="A29" i="10" s="1"/>
  <c r="N29" i="8"/>
  <c r="K28" i="10" s="1"/>
  <c r="O29" i="8"/>
  <c r="D30" i="8" l="1"/>
  <c r="E30" i="8" l="1"/>
  <c r="C29" i="10" s="1"/>
  <c r="J30" i="8"/>
  <c r="H29" i="10" s="1"/>
  <c r="K30" i="8"/>
  <c r="I29" i="10" s="1"/>
  <c r="I30" i="8"/>
  <c r="G29" i="10" s="1"/>
  <c r="G30" i="8"/>
  <c r="E29" i="10" s="1"/>
  <c r="F30" i="8"/>
  <c r="D29" i="10" s="1"/>
  <c r="B29" i="10"/>
  <c r="B31" i="8"/>
  <c r="C31" i="8"/>
  <c r="H30" i="8" l="1"/>
  <c r="L30" i="8"/>
  <c r="J29" i="10" s="1"/>
  <c r="F29" i="10" l="1"/>
  <c r="M30" i="8"/>
  <c r="S30" i="8" s="1"/>
  <c r="Q30" i="8" l="1"/>
  <c r="R30" i="8"/>
  <c r="N30" i="8"/>
  <c r="K29" i="10" s="1"/>
  <c r="O30" i="8"/>
  <c r="P30" i="8"/>
  <c r="A31" i="8" l="1"/>
  <c r="A30" i="10" s="1"/>
  <c r="D31" i="8" l="1"/>
  <c r="B30" i="10" l="1"/>
  <c r="C32" i="8"/>
  <c r="I31" i="8"/>
  <c r="G30" i="10" s="1"/>
  <c r="E31" i="8"/>
  <c r="C30" i="10" s="1"/>
  <c r="F31" i="8"/>
  <c r="D30" i="10" s="1"/>
  <c r="B32" i="8"/>
  <c r="G31" i="8"/>
  <c r="E30" i="10" s="1"/>
  <c r="J31" i="8"/>
  <c r="H30" i="10" s="1"/>
  <c r="K31" i="8"/>
  <c r="I30" i="10" s="1"/>
  <c r="L31" i="8" l="1"/>
  <c r="J30" i="10" s="1"/>
  <c r="H31" i="8"/>
  <c r="F30" i="10" l="1"/>
  <c r="M31" i="8"/>
  <c r="S31" i="8" s="1"/>
  <c r="Q31" i="8" l="1"/>
  <c r="R31" i="8"/>
  <c r="N31" i="8"/>
  <c r="K30" i="10" s="1"/>
  <c r="O31" i="8"/>
  <c r="P31" i="8"/>
  <c r="A32" i="8" l="1"/>
  <c r="A31" i="10" s="1"/>
  <c r="D32" i="8" l="1"/>
  <c r="S33" i="8" l="1"/>
  <c r="R33" i="8"/>
  <c r="Q33" i="8"/>
  <c r="C33" i="8"/>
  <c r="P32" i="8"/>
  <c r="D33" i="8" s="1"/>
  <c r="S34" i="8" s="1"/>
  <c r="I32" i="8"/>
  <c r="G31" i="10" s="1"/>
  <c r="G32" i="8"/>
  <c r="E31" i="10" s="1"/>
  <c r="B33" i="8"/>
  <c r="A33" i="8"/>
  <c r="A32" i="10" s="1"/>
  <c r="F32" i="8"/>
  <c r="D31" i="10" s="1"/>
  <c r="J32" i="8"/>
  <c r="H31" i="10" s="1"/>
  <c r="B31" i="10"/>
  <c r="E32" i="8"/>
  <c r="C31" i="10" s="1"/>
  <c r="K32" i="8"/>
  <c r="I31" i="10" s="1"/>
  <c r="Q34" i="8" l="1"/>
  <c r="R34" i="8"/>
  <c r="H32" i="8"/>
  <c r="L32" i="8"/>
  <c r="J31" i="10" s="1"/>
  <c r="N33" i="8"/>
  <c r="K32" i="10" s="1"/>
  <c r="G33" i="8"/>
  <c r="E32" i="10" s="1"/>
  <c r="H33" i="8"/>
  <c r="F32" i="10" s="1"/>
  <c r="J33" i="8"/>
  <c r="H32" i="10" s="1"/>
  <c r="A34" i="8"/>
  <c r="A33" i="10" s="1"/>
  <c r="B34" i="8"/>
  <c r="O33" i="8"/>
  <c r="P33" i="8"/>
  <c r="D34" i="8" s="1"/>
  <c r="S35" i="8" s="1"/>
  <c r="F33" i="8"/>
  <c r="D32" i="10" s="1"/>
  <c r="B32" i="10"/>
  <c r="C34" i="8"/>
  <c r="M33" i="8"/>
  <c r="E33" i="8"/>
  <c r="C32" i="10" s="1"/>
  <c r="K33" i="8"/>
  <c r="I32" i="10" s="1"/>
  <c r="L33" i="8"/>
  <c r="J32" i="10" s="1"/>
  <c r="I33" i="8"/>
  <c r="G32" i="10" s="1"/>
  <c r="Q35" i="8" l="1"/>
  <c r="R35" i="8"/>
  <c r="F34" i="8"/>
  <c r="D33" i="10" s="1"/>
  <c r="M34" i="8"/>
  <c r="A35" i="8"/>
  <c r="A34" i="10" s="1"/>
  <c r="K34" i="8"/>
  <c r="I33" i="10" s="1"/>
  <c r="O34" i="8"/>
  <c r="L34" i="8"/>
  <c r="J33" i="10" s="1"/>
  <c r="G34" i="8"/>
  <c r="E33" i="10" s="1"/>
  <c r="P34" i="8"/>
  <c r="D35" i="8" s="1"/>
  <c r="S36" i="8" s="1"/>
  <c r="H34" i="8"/>
  <c r="F33" i="10" s="1"/>
  <c r="B35" i="8"/>
  <c r="C35" i="8"/>
  <c r="I34" i="8"/>
  <c r="G33" i="10" s="1"/>
  <c r="N34" i="8"/>
  <c r="K33" i="10" s="1"/>
  <c r="B33" i="10"/>
  <c r="E34" i="8"/>
  <c r="C33" i="10" s="1"/>
  <c r="J34" i="8"/>
  <c r="H33" i="10" s="1"/>
  <c r="F31" i="10"/>
  <c r="M32" i="8"/>
  <c r="S32" i="8" s="1"/>
  <c r="H2" i="10" s="1"/>
  <c r="Q36" i="8" l="1"/>
  <c r="R36" i="8"/>
  <c r="Q32" i="8"/>
  <c r="C2" i="10" s="1"/>
  <c r="R32" i="8"/>
  <c r="E2" i="10" s="1"/>
  <c r="C36" i="8"/>
  <c r="A36" i="8"/>
  <c r="A35" i="10" s="1"/>
  <c r="P35" i="8"/>
  <c r="D36" i="8" s="1"/>
  <c r="S37" i="8" s="1"/>
  <c r="E35" i="8"/>
  <c r="C34" i="10" s="1"/>
  <c r="B36" i="8"/>
  <c r="O35" i="8"/>
  <c r="N35" i="8"/>
  <c r="K34" i="10" s="1"/>
  <c r="F35" i="8"/>
  <c r="D34" i="10" s="1"/>
  <c r="J35" i="8"/>
  <c r="H34" i="10" s="1"/>
  <c r="K35" i="8"/>
  <c r="I34" i="10" s="1"/>
  <c r="L35" i="8"/>
  <c r="J34" i="10" s="1"/>
  <c r="M35" i="8"/>
  <c r="B34" i="10"/>
  <c r="G35" i="8"/>
  <c r="E34" i="10" s="1"/>
  <c r="H35" i="8"/>
  <c r="F34" i="10" s="1"/>
  <c r="I35" i="8"/>
  <c r="G34" i="10" s="1"/>
  <c r="N32" i="8"/>
  <c r="K31" i="10" s="1"/>
  <c r="O32" i="8"/>
  <c r="Q37" i="8" l="1"/>
  <c r="R37" i="8"/>
  <c r="G36" i="8"/>
  <c r="E35" i="10" s="1"/>
  <c r="E36" i="8"/>
  <c r="C35" i="10" s="1"/>
  <c r="B37" i="8"/>
  <c r="O36" i="8"/>
  <c r="N36" i="8"/>
  <c r="K35" i="10" s="1"/>
  <c r="K36" i="8"/>
  <c r="I35" i="10" s="1"/>
  <c r="L36" i="8"/>
  <c r="J35" i="10" s="1"/>
  <c r="C37" i="8"/>
  <c r="M36" i="8"/>
  <c r="J36" i="8"/>
  <c r="H35" i="10" s="1"/>
  <c r="P36" i="8"/>
  <c r="D37" i="8" s="1"/>
  <c r="S38" i="8" s="1"/>
  <c r="H36" i="8"/>
  <c r="F35" i="10" s="1"/>
  <c r="F36" i="8"/>
  <c r="D35" i="10" s="1"/>
  <c r="B35" i="10"/>
  <c r="A37" i="8"/>
  <c r="A36" i="10" s="1"/>
  <c r="I36" i="8"/>
  <c r="G35" i="10" s="1"/>
  <c r="Q38" i="8" l="1"/>
  <c r="R38" i="8"/>
  <c r="F37" i="8"/>
  <c r="D36" i="10" s="1"/>
  <c r="B36" i="10"/>
  <c r="P37" i="8"/>
  <c r="D38" i="8" s="1"/>
  <c r="S39" i="8" s="1"/>
  <c r="B38" i="8"/>
  <c r="H37" i="8"/>
  <c r="F36" i="10" s="1"/>
  <c r="J37" i="8"/>
  <c r="H36" i="10" s="1"/>
  <c r="G37" i="8"/>
  <c r="E36" i="10" s="1"/>
  <c r="A38" i="8"/>
  <c r="A37" i="10" s="1"/>
  <c r="C38" i="8"/>
  <c r="O37" i="8"/>
  <c r="L37" i="8"/>
  <c r="J36" i="10" s="1"/>
  <c r="M37" i="8"/>
  <c r="N37" i="8"/>
  <c r="K36" i="10" s="1"/>
  <c r="K37" i="8"/>
  <c r="I36" i="10" s="1"/>
  <c r="I37" i="8"/>
  <c r="G36" i="10" s="1"/>
  <c r="E37" i="8"/>
  <c r="C36" i="10" s="1"/>
  <c r="Q39" i="8" l="1"/>
  <c r="R39" i="8"/>
  <c r="C39" i="8"/>
  <c r="F38" i="8"/>
  <c r="D37" i="10" s="1"/>
  <c r="B39" i="8"/>
  <c r="N38" i="8"/>
  <c r="K37" i="10" s="1"/>
  <c r="K38" i="8"/>
  <c r="I37" i="10" s="1"/>
  <c r="A39" i="8"/>
  <c r="A38" i="10" s="1"/>
  <c r="L38" i="8"/>
  <c r="J37" i="10" s="1"/>
  <c r="O38" i="8"/>
  <c r="B37" i="10"/>
  <c r="H38" i="8"/>
  <c r="F37" i="10" s="1"/>
  <c r="E38" i="8"/>
  <c r="C37" i="10" s="1"/>
  <c r="M38" i="8"/>
  <c r="J38" i="8"/>
  <c r="H37" i="10" s="1"/>
  <c r="P38" i="8"/>
  <c r="D39" i="8" s="1"/>
  <c r="S40" i="8" s="1"/>
  <c r="G38" i="8"/>
  <c r="E37" i="10" s="1"/>
  <c r="I38" i="8"/>
  <c r="G37" i="10" s="1"/>
  <c r="Q40" i="8" l="1"/>
  <c r="R40" i="8"/>
  <c r="P39" i="8"/>
  <c r="D40" i="8" s="1"/>
  <c r="S41" i="8" s="1"/>
  <c r="B40" i="8"/>
  <c r="N39" i="8"/>
  <c r="K38" i="10" s="1"/>
  <c r="C40" i="8"/>
  <c r="A40" i="8"/>
  <c r="A39" i="10" s="1"/>
  <c r="H39" i="8"/>
  <c r="F38" i="10" s="1"/>
  <c r="B38" i="10"/>
  <c r="M39" i="8"/>
  <c r="J39" i="8"/>
  <c r="H38" i="10" s="1"/>
  <c r="O39" i="8"/>
  <c r="L39" i="8"/>
  <c r="J38" i="10" s="1"/>
  <c r="I39" i="8"/>
  <c r="G38" i="10" s="1"/>
  <c r="G39" i="8"/>
  <c r="E38" i="10" s="1"/>
  <c r="K39" i="8"/>
  <c r="I38" i="10" s="1"/>
  <c r="E39" i="8"/>
  <c r="C38" i="10" s="1"/>
  <c r="F39" i="8"/>
  <c r="D38" i="10" s="1"/>
  <c r="Q41" i="8" l="1"/>
  <c r="R41" i="8"/>
  <c r="F40" i="8"/>
  <c r="D39" i="10" s="1"/>
  <c r="B41" i="8"/>
  <c r="O40" i="8"/>
  <c r="B39" i="10"/>
  <c r="I40" i="8"/>
  <c r="G39" i="10" s="1"/>
  <c r="G40" i="8"/>
  <c r="E39" i="10" s="1"/>
  <c r="J40" i="8"/>
  <c r="H39" i="10" s="1"/>
  <c r="E40" i="8"/>
  <c r="C39" i="10" s="1"/>
  <c r="A41" i="8"/>
  <c r="A40" i="10" s="1"/>
  <c r="C41" i="8"/>
  <c r="K40" i="8"/>
  <c r="I39" i="10" s="1"/>
  <c r="L40" i="8"/>
  <c r="J39" i="10" s="1"/>
  <c r="N40" i="8"/>
  <c r="K39" i="10" s="1"/>
  <c r="M40" i="8"/>
  <c r="P40" i="8"/>
  <c r="D41" i="8" s="1"/>
  <c r="S42" i="8" s="1"/>
  <c r="H40" i="8"/>
  <c r="F39" i="10" s="1"/>
  <c r="Q42" i="8" l="1"/>
  <c r="R42" i="8"/>
  <c r="N41" i="8"/>
  <c r="K40" i="10" s="1"/>
  <c r="O41" i="8"/>
  <c r="H41" i="8"/>
  <c r="F40" i="10" s="1"/>
  <c r="L41" i="8"/>
  <c r="J40" i="10" s="1"/>
  <c r="G41" i="8"/>
  <c r="E40" i="10" s="1"/>
  <c r="P41" i="8"/>
  <c r="D42" i="8" s="1"/>
  <c r="S43" i="8" s="1"/>
  <c r="M41" i="8"/>
  <c r="J41" i="8"/>
  <c r="H40" i="10" s="1"/>
  <c r="K41" i="8"/>
  <c r="I40" i="10" s="1"/>
  <c r="E41" i="8"/>
  <c r="C40" i="10" s="1"/>
  <c r="B42" i="8"/>
  <c r="I41" i="8"/>
  <c r="G40" i="10" s="1"/>
  <c r="B40" i="10"/>
  <c r="A42" i="8"/>
  <c r="A41" i="10" s="1"/>
  <c r="C42" i="8"/>
  <c r="F41" i="8"/>
  <c r="D40" i="10" s="1"/>
  <c r="Q43" i="8" l="1"/>
  <c r="R43" i="8"/>
  <c r="O42" i="8"/>
  <c r="A43" i="8"/>
  <c r="A42" i="10" s="1"/>
  <c r="B43" i="8"/>
  <c r="G42" i="8"/>
  <c r="E41" i="10" s="1"/>
  <c r="F42" i="8"/>
  <c r="D41" i="10" s="1"/>
  <c r="C43" i="8"/>
  <c r="H42" i="8"/>
  <c r="F41" i="10" s="1"/>
  <c r="M42" i="8"/>
  <c r="K42" i="8"/>
  <c r="I41" i="10" s="1"/>
  <c r="N42" i="8"/>
  <c r="K41" i="10" s="1"/>
  <c r="P42" i="8"/>
  <c r="D43" i="8" s="1"/>
  <c r="S44" i="8" s="1"/>
  <c r="B41" i="10"/>
  <c r="I42" i="8"/>
  <c r="G41" i="10" s="1"/>
  <c r="E42" i="8"/>
  <c r="C41" i="10" s="1"/>
  <c r="L42" i="8"/>
  <c r="J41" i="10" s="1"/>
  <c r="J42" i="8"/>
  <c r="H41" i="10" s="1"/>
  <c r="Q44" i="8" l="1"/>
  <c r="R44" i="8"/>
  <c r="O43" i="8"/>
  <c r="G43" i="8"/>
  <c r="E42" i="10" s="1"/>
  <c r="P43" i="8"/>
  <c r="D44" i="8" s="1"/>
  <c r="S45" i="8" s="1"/>
  <c r="H43" i="8"/>
  <c r="F42" i="10" s="1"/>
  <c r="I43" i="8"/>
  <c r="G42" i="10" s="1"/>
  <c r="A44" i="8"/>
  <c r="A43" i="10" s="1"/>
  <c r="C44" i="8"/>
  <c r="N43" i="8"/>
  <c r="K42" i="10" s="1"/>
  <c r="K43" i="8"/>
  <c r="I42" i="10" s="1"/>
  <c r="B44" i="8"/>
  <c r="B42" i="10"/>
  <c r="J43" i="8"/>
  <c r="H42" i="10" s="1"/>
  <c r="F43" i="8"/>
  <c r="D42" i="10" s="1"/>
  <c r="L43" i="8"/>
  <c r="J42" i="10" s="1"/>
  <c r="E43" i="8"/>
  <c r="C42" i="10" s="1"/>
  <c r="M43" i="8"/>
  <c r="Q45" i="8" l="1"/>
  <c r="R45" i="8"/>
  <c r="O44" i="8"/>
  <c r="L44" i="8"/>
  <c r="J43" i="10" s="1"/>
  <c r="F44" i="8"/>
  <c r="D43" i="10" s="1"/>
  <c r="K44" i="8"/>
  <c r="I43" i="10" s="1"/>
  <c r="E44" i="8"/>
  <c r="C43" i="10" s="1"/>
  <c r="N44" i="8"/>
  <c r="K43" i="10" s="1"/>
  <c r="B45" i="8"/>
  <c r="P44" i="8"/>
  <c r="D45" i="8" s="1"/>
  <c r="S46" i="8" s="1"/>
  <c r="M44" i="8"/>
  <c r="G44" i="8"/>
  <c r="E43" i="10" s="1"/>
  <c r="C45" i="8"/>
  <c r="B43" i="10"/>
  <c r="I44" i="8"/>
  <c r="G43" i="10" s="1"/>
  <c r="A45" i="8"/>
  <c r="A44" i="10" s="1"/>
  <c r="J44" i="8"/>
  <c r="H43" i="10" s="1"/>
  <c r="H44" i="8"/>
  <c r="F43" i="10" s="1"/>
  <c r="Q46" i="8" l="1"/>
  <c r="R46" i="8"/>
  <c r="C46" i="8"/>
  <c r="I45" i="8"/>
  <c r="G44" i="10" s="1"/>
  <c r="O45" i="8"/>
  <c r="B46" i="8"/>
  <c r="C2" i="8" s="1"/>
  <c r="E45" i="8"/>
  <c r="C44" i="10" s="1"/>
  <c r="K45" i="8"/>
  <c r="I44" i="10" s="1"/>
  <c r="A46" i="8"/>
  <c r="A45" i="10" s="1"/>
  <c r="M45" i="8"/>
  <c r="N45" i="8"/>
  <c r="K44" i="10" s="1"/>
  <c r="L45" i="8"/>
  <c r="J44" i="10" s="1"/>
  <c r="J45" i="8"/>
  <c r="H44" i="10" s="1"/>
  <c r="F45" i="8"/>
  <c r="D44" i="10" s="1"/>
  <c r="P45" i="8"/>
  <c r="D46" i="8" s="1"/>
  <c r="H45" i="8"/>
  <c r="F44" i="10" s="1"/>
  <c r="G45" i="8"/>
  <c r="E44" i="10" s="1"/>
  <c r="B44" i="10"/>
  <c r="N46" i="8" l="1"/>
  <c r="K45" i="10" s="1"/>
  <c r="I46" i="8"/>
  <c r="G45" i="10" s="1"/>
  <c r="B45" i="10"/>
  <c r="H46" i="8"/>
  <c r="F45" i="10" s="1"/>
  <c r="G46" i="8"/>
  <c r="E45" i="10" s="1"/>
  <c r="M46" i="8"/>
  <c r="J46" i="8"/>
  <c r="H45" i="10" s="1"/>
  <c r="P46" i="8"/>
  <c r="L46" i="8"/>
  <c r="J45" i="10" s="1"/>
  <c r="E46" i="8"/>
  <c r="C45" i="10" s="1"/>
  <c r="F46" i="8"/>
  <c r="D45" i="10" s="1"/>
  <c r="K46" i="8"/>
  <c r="I45" i="10" s="1"/>
  <c r="O46" i="8"/>
  <c r="E1" i="10" l="1"/>
</calcChain>
</file>

<file path=xl/comments1.xml><?xml version="1.0" encoding="utf-8"?>
<comments xmlns="http://schemas.openxmlformats.org/spreadsheetml/2006/main">
  <authors>
    <author>Konrad Schön</author>
  </authors>
  <commentList>
    <comment ref="A4" authorId="0" shapeId="0">
      <text>
        <r>
          <rPr>
            <sz val="9"/>
            <color indexed="81"/>
            <rFont val="Segoe UI"/>
            <family val="2"/>
          </rPr>
          <t>1 if that PC meets all the requirements listed in the item</t>
        </r>
      </text>
    </comment>
  </commentList>
</comments>
</file>

<file path=xl/sharedStrings.xml><?xml version="1.0" encoding="utf-8"?>
<sst xmlns="http://schemas.openxmlformats.org/spreadsheetml/2006/main" count="575" uniqueCount="262">
  <si>
    <t>Challenge</t>
  </si>
  <si>
    <t>Skill</t>
  </si>
  <si>
    <t>Spellcraft</t>
  </si>
  <si>
    <t>Complete the Item</t>
  </si>
  <si>
    <t>UMD</t>
  </si>
  <si>
    <t>Knw(dung)</t>
  </si>
  <si>
    <t>ja</t>
  </si>
  <si>
    <t>nein</t>
  </si>
  <si>
    <t>Knw(eng)</t>
  </si>
  <si>
    <t>Knw(arc)</t>
  </si>
  <si>
    <t>Linguistic</t>
  </si>
  <si>
    <t>Concentration</t>
  </si>
  <si>
    <t>Diplo</t>
  </si>
  <si>
    <t>Perform</t>
  </si>
  <si>
    <t>Bluff</t>
  </si>
  <si>
    <t>Fortitude</t>
  </si>
  <si>
    <t>Sense Motive</t>
  </si>
  <si>
    <t>Sleight of</t>
  </si>
  <si>
    <t>Knw(His)</t>
  </si>
  <si>
    <t>Knw(local)</t>
  </si>
  <si>
    <t>Appraise</t>
  </si>
  <si>
    <t>Heal</t>
  </si>
  <si>
    <t>Handle Animal</t>
  </si>
  <si>
    <t>Knw(Rel)</t>
  </si>
  <si>
    <t>Knw(geo)</t>
  </si>
  <si>
    <t>Knw(planes)</t>
  </si>
  <si>
    <t>Perc</t>
  </si>
  <si>
    <t>Survival</t>
  </si>
  <si>
    <t>Knw(Nob)</t>
  </si>
  <si>
    <t>Disable Dev</t>
  </si>
  <si>
    <t>Knw(his)</t>
  </si>
  <si>
    <t>Knw(nob)</t>
  </si>
  <si>
    <t>Knw(rel)</t>
  </si>
  <si>
    <t>Craft (Alch)</t>
  </si>
  <si>
    <t>Skill 1</t>
  </si>
  <si>
    <t>Skill 2</t>
  </si>
  <si>
    <t>DC 1</t>
  </si>
  <si>
    <t>Plus CL 1</t>
  </si>
  <si>
    <t>DC 2</t>
  </si>
  <si>
    <t>Plus CL 2</t>
  </si>
  <si>
    <t>alle Prereq haben</t>
  </si>
  <si>
    <t>Challenges</t>
  </si>
  <si>
    <t>wkt formel</t>
  </si>
  <si>
    <t>wenn(check1&gt;=dc1;1;(dc1-check1)/20)*wenn(check2&gt;=dc2;1;(dc2-check2)/20)</t>
  </si>
  <si>
    <t>Bester</t>
  </si>
  <si>
    <t>Zweiter</t>
  </si>
  <si>
    <t>Bester für Skill 1</t>
  </si>
  <si>
    <t>Bester für Skill 2</t>
  </si>
  <si>
    <t>bester skill 1</t>
  </si>
  <si>
    <t>skill 1</t>
  </si>
  <si>
    <t>skill 2</t>
  </si>
  <si>
    <t>bester skill 2</t>
  </si>
  <si>
    <t>gleiche besten?</t>
  </si>
  <si>
    <t>Craft (T)</t>
  </si>
  <si>
    <t>Alternative 1</t>
  </si>
  <si>
    <t>Alternative 2</t>
  </si>
  <si>
    <t>Skill Nummer</t>
  </si>
  <si>
    <t>best skill 1 check</t>
  </si>
  <si>
    <t>best skill 2 check</t>
  </si>
  <si>
    <t>alt skill 1 check</t>
  </si>
  <si>
    <t>alt skill 2 check</t>
  </si>
  <si>
    <t>best wkt 1</t>
  </si>
  <si>
    <t>best wkt 2</t>
  </si>
  <si>
    <t>real dc 2</t>
  </si>
  <si>
    <t>real dc 1</t>
  </si>
  <si>
    <t>alt wkt 1</t>
  </si>
  <si>
    <t>alt wkt 2</t>
  </si>
  <si>
    <t>wkt crit. Succes</t>
  </si>
  <si>
    <t>beste kombi crit success</t>
  </si>
  <si>
    <t>wkt Success</t>
  </si>
  <si>
    <t>wkt bestehen</t>
  </si>
  <si>
    <t>dc1</t>
  </si>
  <si>
    <t>dc2</t>
  </si>
  <si>
    <t>wkt fail</t>
  </si>
  <si>
    <t>wkt crit. Fail</t>
  </si>
  <si>
    <t>Wkt Crit Success</t>
  </si>
  <si>
    <t>Wkt Fail</t>
  </si>
  <si>
    <t>Wkt Crit Fail</t>
  </si>
  <si>
    <t>Wkt Success2</t>
  </si>
  <si>
    <t>RNG Grenze:</t>
  </si>
  <si>
    <t>Wkt insg. Success</t>
  </si>
  <si>
    <t>Mit Simulacrum</t>
  </si>
  <si>
    <t>Nein</t>
  </si>
  <si>
    <t>wkt fail &lt;5</t>
  </si>
  <si>
    <t>wkt fail &gt;= 5</t>
  </si>
  <si>
    <t>CL</t>
  </si>
  <si>
    <t>Abberant mutation</t>
  </si>
  <si>
    <t>Challenging construction</t>
  </si>
  <si>
    <t>Contradictory instructions</t>
  </si>
  <si>
    <t>Cryptic cross-reference</t>
  </si>
  <si>
    <t>Distracting visitor</t>
  </si>
  <si>
    <t>Emotion requirement</t>
  </si>
  <si>
    <t>Energy overload</t>
  </si>
  <si>
    <t>Enticing offer</t>
  </si>
  <si>
    <t>Fragile components</t>
  </si>
  <si>
    <t>Historic stumbling block</t>
  </si>
  <si>
    <t>Illegal ingredients</t>
  </si>
  <si>
    <t>Infested ingredients</t>
  </si>
  <si>
    <t>Ingredients develop quasi-sentinence</t>
  </si>
  <si>
    <t>Intrusive spirit</t>
  </si>
  <si>
    <t>Ley line convergance</t>
  </si>
  <si>
    <t>Magical resonance</t>
  </si>
  <si>
    <t>Rare reference</t>
  </si>
  <si>
    <t>Reagent shortage</t>
  </si>
  <si>
    <t>Regal requisite</t>
  </si>
  <si>
    <t>Sesquipedalian elucidation</t>
  </si>
  <si>
    <t>Structual flaw</t>
  </si>
  <si>
    <t>Sudden inspiration</t>
  </si>
  <si>
    <t>Planar peculiarity</t>
  </si>
  <si>
    <t>Prepare the vessel</t>
  </si>
  <si>
    <t>Flaw</t>
  </si>
  <si>
    <t>Quirk</t>
  </si>
  <si>
    <t>Perk</t>
  </si>
  <si>
    <t>Tage</t>
  </si>
  <si>
    <t>Kosten</t>
  </si>
  <si>
    <t>Ergebnis</t>
  </si>
  <si>
    <t>Result</t>
  </si>
  <si>
    <t>Check</t>
  </si>
  <si>
    <t>PC 2</t>
  </si>
  <si>
    <t>PC 1</t>
  </si>
  <si>
    <t>Würfelwurf</t>
  </si>
  <si>
    <t>Challenge Nr.</t>
  </si>
  <si>
    <t>Tag</t>
  </si>
  <si>
    <t>Challenges:</t>
  </si>
  <si>
    <t>Marktpreis:</t>
  </si>
  <si>
    <t>Requirements</t>
  </si>
  <si>
    <t>Name PC 6</t>
  </si>
  <si>
    <t>Name PC 5</t>
  </si>
  <si>
    <t>Item name:</t>
  </si>
  <si>
    <t>CL:</t>
  </si>
  <si>
    <t>Anzahlung:</t>
  </si>
  <si>
    <t>Restkosten:</t>
  </si>
  <si>
    <t>Name:</t>
  </si>
  <si>
    <t>DC</t>
  </si>
  <si>
    <t>Roll</t>
  </si>
  <si>
    <t>Skill2</t>
  </si>
  <si>
    <t>Random Challenge</t>
  </si>
  <si>
    <t>Critical Success</t>
  </si>
  <si>
    <t>Success</t>
  </si>
  <si>
    <t>Failure</t>
  </si>
  <si>
    <t>Critical Failure</t>
  </si>
  <si>
    <t>Effect</t>
  </si>
  <si>
    <t>Mutation proves helpful. 1 perk.</t>
  </si>
  <si>
    <t>X</t>
  </si>
  <si>
    <t>Mutation proves harmless. 1 quirk.</t>
  </si>
  <si>
    <t>Mutation proves harmful. 1 flaw.</t>
  </si>
  <si>
    <t>Mutation spirals out of control. Item switches to a random item of the same type or slot, but of lesser value. If none exists, the item is instead destroyed; you lose 25% of the item's market price and must start over.</t>
  </si>
  <si>
    <t>Challenge exceeded. –1 day, –10% cost.</t>
  </si>
  <si>
    <t>Challenge overcome. No adjustment.</t>
  </si>
  <si>
    <t>Construction proved costly. +2 days, +5% cost.</t>
  </si>
  <si>
    <t>Construction botched. +15% cost, 1 flaw.</t>
  </si>
  <si>
    <t>Best of both worlds. –3 days, –5% cost.</t>
  </si>
  <si>
    <t>Contradiction resolved. No adjustment.</t>
  </si>
  <si>
    <t>Misstep. +3 days, +5% cost.</t>
  </si>
  <si>
    <t>Worst of both worlds. +7 days, +10% cost.</t>
  </si>
  <si>
    <t>Perfect coordination. –3 days, –5% cost.</t>
  </si>
  <si>
    <t>Excellent notes. –1 day.</t>
  </si>
  <si>
    <t>Lost in paperwork. +3 days.</t>
  </si>
  <si>
    <t>Series of missteps. +3 days, 1 flaw.</t>
  </si>
  <si>
    <t>Unexpected helpfulness. –1 day, –5% cost.</t>
  </si>
  <si>
    <t>Short chat. No adjustment.</t>
  </si>
  <si>
    <t>Distracted. +1 day, 1 quirk.</t>
  </si>
  <si>
    <t>Offended visitor interferes. +2 days, +5% cost, 1 flaw.</t>
  </si>
  <si>
    <t>Power from emotional surge. –5% cost, 1 perk.</t>
  </si>
  <si>
    <t>Harnessed emotions. No adjustment.</t>
  </si>
  <si>
    <t>Tepid emotions. +1 day, +5% cost, 1 quirk.</t>
  </si>
  <si>
    <t>Interference from opposing emotions. +3 days, +10% cost, 1 flaw.</t>
  </si>
  <si>
    <t>Overload leveraged. –2 days, –10% cost, 1 perk.</t>
  </si>
  <si>
    <t>Overload diverted. 1 quirk.</t>
  </si>
  <si>
    <t>Expensive damage. +7 days, +15% cost.</t>
  </si>
  <si>
    <t>Eldritch explosion. Item destroyed. Creators take 1d6 points of damage per caster level of the item.</t>
  </si>
  <si>
    <t>It actually worked! –1 day, –5% cost, 1 quirk.</t>
  </si>
  <si>
    <t>Avoid mischief. No adjustment.</t>
  </si>
  <si>
    <t>Not exactly as advertised. –1 day, –5% cost, 2 flaws.</t>
  </si>
  <si>
    <t>XX</t>
  </si>
  <si>
    <t>Completely duped. +1 day, +5% cost, 2 flaws.</t>
  </si>
  <si>
    <t>Flawless components. –10% cost.</t>
  </si>
  <si>
    <t>Undamaged components. No adjustment.</t>
  </si>
  <si>
    <t>Damaged components. +1 day, +5% cost.</t>
  </si>
  <si>
    <t>Item destroyed. Lose 25% of the item's market price and start over.</t>
  </si>
  <si>
    <t>An amazing workaround overcomes the issue. –3 days, –5% cost.</t>
  </si>
  <si>
    <t>Stumble avoided. –1 day.</t>
  </si>
  <si>
    <t>Doomed to repeat the same mistake. +3 days, +10% cost.</t>
  </si>
  <si>
    <t>Misapplied techniques result in disaster. +7 days, +10% cost, 1 flaw.</t>
  </si>
  <si>
    <t>Sell surplus to a fence. –10% cost.</t>
  </si>
  <si>
    <t>Found just enough. No adjustment.</t>
  </si>
  <si>
    <t>Failed procurement. +5 days, +5% cost, 1 quirk.</t>
  </si>
  <si>
    <t>Arrested and fined. +15% cost, creator attempting smuggling is arrested and sentenced to jail time or escapes custody and is on the run.</t>
  </si>
  <si>
    <t>Seller's market. –5% cost.</t>
  </si>
  <si>
    <t>Crisis averted. No adjustment.</t>
  </si>
  <si>
    <t>Gouged on prices. +10% cost.</t>
  </si>
  <si>
    <t>Infestation spreads into item. +5% cost, 1 quirk, 1 flaw.</t>
  </si>
  <si>
    <t>Item proceeds as normal but becomes an intelligent item of your alignment, and it likes you.</t>
  </si>
  <si>
    <t>Ingredients work with you. 1 perk if you coaxed the ingredients; –5% cost if you coerced the ingredients.</t>
  </si>
  <si>
    <t>Ingredients rebel against you and escape or sabotage the item. +15% cost, 1 flaw.</t>
  </si>
  <si>
    <t>Item proceeds as normal but becomes an intelligent item of a contrary alignment, and it hates you.</t>
  </si>
  <si>
    <t>Spirit's release. –3 days, –5% cost, 1 perk.</t>
  </si>
  <si>
    <t>No adjustment for exorcising the spirit; –1 day, –5% cost, 1 quirk for seeking the spirit's aid.</t>
  </si>
  <si>
    <t>Spirit's interference. +3 days, +5% cost, 1 quirk.</t>
  </si>
  <si>
    <t>Spirit's wrath. Item is cursed.</t>
  </si>
  <si>
    <t>Auspicious convergence. –2 days, 1 perk.</t>
  </si>
  <si>
    <t>Satisfactory location. No adjustment.</t>
  </si>
  <si>
    <t>Misaligned location. +3 days, 1 quirk.</t>
  </si>
  <si>
    <t>Deleterious convergence. +10% cost, 1 flaw.</t>
  </si>
  <si>
    <t>Resonant power revealed. –1 day, 1 perk.</t>
  </si>
  <si>
    <t>Resonance limited. 1 quirk.</t>
  </si>
  <si>
    <t>Resonance interferes. +1 day, +5% cost, 1 quirk.</t>
  </si>
  <si>
    <t>Out of control! +3 days, +10% cost, 1 flaw.</t>
  </si>
  <si>
    <t>Perfectly aligned. –3 days, –5% cost, 1 perk.</t>
  </si>
  <si>
    <t>Well aligned. –1 day.</t>
  </si>
  <si>
    <t>Poorly aligned. +1 day, 1 quirk, 1 flaw.</t>
  </si>
  <si>
    <t>Catastrophically aligned. +3 days, +5% cost, 1 flaw.</t>
  </si>
  <si>
    <t>Expedient search. –3 days.</t>
  </si>
  <si>
    <t>Found it! –1 day.</t>
  </si>
  <si>
    <t>Lengthy search. +3 days.</t>
  </si>
  <si>
    <t>Huge delays and fees. +10 days, +5% cost.</t>
  </si>
  <si>
    <t>Amazing combination. –5% cost, 1 perk.</t>
  </si>
  <si>
    <t>Sufficient components. No adjustment.</t>
  </si>
  <si>
    <t>Missing component. +10% cost.</t>
  </si>
  <si>
    <t>Terrible mix. +5% cost, 1 flaw.</t>
  </si>
  <si>
    <t>Regal synergy. 1 perk.</t>
  </si>
  <si>
    <t>No adjustment for noble ties; 1 quirk for falsified ingredients.</t>
  </si>
  <si>
    <t>Introduced impurities. 1 flaw.</t>
  </si>
  <si>
    <t>Impurities and ostracism. +3 days, 1 flaw, creator attempting to exploit noble ties is ostracized at court.</t>
  </si>
  <si>
    <t>Master of erudition. –3 days, –5% cost.</t>
  </si>
  <si>
    <t>Instructions elucidated. –1 day.</t>
  </si>
  <si>
    <t>Nonplussed. +3 days, +5% cost.</t>
  </si>
  <si>
    <t>Confounded. +7 days, +10% cost.</t>
  </si>
  <si>
    <t>Surprising benefits. +1 day, –10% cost, 1 perk.</t>
  </si>
  <si>
    <t>Meticulousness pays off. +1 day, –5% cost.</t>
  </si>
  <si>
    <t>Insurmountable flaw. +3 days, +5% cost, 1 flaw.</t>
  </si>
  <si>
    <t>Item destroyed in disassembly. Lose 25% of the item's market price and start over.</t>
  </si>
  <si>
    <t>Incredible breakthrough. –2 days, –5% cost, 1 perk.</t>
  </si>
  <si>
    <t>Breakthrough. 1 perk for improved item; –2 days for improved methodology.</t>
  </si>
  <si>
    <t>False lead. +1 day, 1 quirk.</t>
  </si>
  <si>
    <t>Terrible idea. +2 days, +5% cost, 1 flaw.</t>
  </si>
  <si>
    <t>You have a superlative and efficient vessel. Set the base cost at 75% of the market price, and set the item's creation time to 1 day per 2,000 gp of the item's market price.</t>
  </si>
  <si>
    <t>You have a satisfactory vessel. Set the base cost at 85% of the market price, and set the item's creation time to 1 day per 1,000 gp of the item's market price.</t>
  </si>
  <si>
    <t>You have a flawed vessel. Set the base cost at 100% of the market price, set the item's creation time to 1 day per 500 gp of the item's market price, and add one flaw.</t>
  </si>
  <si>
    <t>The vessel is destroyed.</t>
  </si>
  <si>
    <t>Complete the item</t>
  </si>
  <si>
    <t>You complete the item with a masterful flourish. Reduce the item's cost by 10%.</t>
  </si>
  <si>
    <t>You have completed the item.</t>
  </si>
  <si>
    <t>The item is destroyed.</t>
  </si>
  <si>
    <t>---</t>
  </si>
  <si>
    <t>Rolls</t>
  </si>
  <si>
    <t>Challenge rolls</t>
  </si>
  <si>
    <t>skill roll 1</t>
  </si>
  <si>
    <t>skill roll 2</t>
  </si>
  <si>
    <t>Check2</t>
  </si>
  <si>
    <t>size of table</t>
  </si>
  <si>
    <t>Perks:</t>
  </si>
  <si>
    <t>Quirks:</t>
  </si>
  <si>
    <t>Flaws:</t>
  </si>
  <si>
    <t>DC2</t>
  </si>
  <si>
    <t>PC</t>
  </si>
  <si>
    <t>PC2</t>
  </si>
  <si>
    <t>Roll2</t>
  </si>
  <si>
    <t>Name PC 1</t>
  </si>
  <si>
    <t>Name PC 2</t>
  </si>
  <si>
    <t>Name PC 3</t>
  </si>
  <si>
    <t>Name PC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</si>
</sst>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  <font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4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0" borderId="0" xfId="0" applyFont="1" applyFill="1" applyBorder="1"/>
    <xf numFmtId="0" fontId="2" fillId="2" borderId="0" xfId="0" applyFont="1" applyFill="1" applyBorder="1"/>
    <xf numFmtId="0" fontId="0" fillId="3" borderId="3" xfId="0" applyFont="1" applyFill="1" applyBorder="1"/>
    <xf numFmtId="0" fontId="2" fillId="0" borderId="0" xfId="0" applyFont="1" applyFill="1" applyBorder="1"/>
    <xf numFmtId="0" fontId="0" fillId="0" borderId="0" xfId="0" applyFill="1"/>
    <xf numFmtId="0" fontId="0" fillId="0" borderId="0" xfId="0" applyFill="1" applyBorder="1"/>
    <xf numFmtId="0" fontId="2" fillId="2" borderId="4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0" borderId="3" xfId="0" applyFont="1" applyBorder="1"/>
    <xf numFmtId="0" fontId="0" fillId="0" borderId="5" xfId="0" applyFont="1" applyBorder="1"/>
    <xf numFmtId="0" fontId="0" fillId="0" borderId="6" xfId="0" applyFont="1" applyFill="1" applyBorder="1"/>
    <xf numFmtId="0" fontId="4" fillId="0" borderId="6" xfId="0" applyFont="1" applyFill="1" applyBorder="1"/>
    <xf numFmtId="0" fontId="3" fillId="0" borderId="6" xfId="0" applyFont="1" applyFill="1" applyBorder="1"/>
    <xf numFmtId="0" fontId="4" fillId="0" borderId="7" xfId="0" applyFont="1" applyFill="1" applyBorder="1"/>
    <xf numFmtId="9" fontId="0" fillId="0" borderId="0" xfId="1" applyFont="1"/>
    <xf numFmtId="10" fontId="0" fillId="0" borderId="0" xfId="1" applyNumberFormat="1" applyFont="1"/>
    <xf numFmtId="10" fontId="0" fillId="0" borderId="0" xfId="0" applyNumberFormat="1"/>
    <xf numFmtId="10" fontId="0" fillId="0" borderId="0" xfId="0" applyNumberFormat="1" applyFill="1"/>
    <xf numFmtId="10" fontId="0" fillId="0" borderId="0" xfId="0" applyNumberFormat="1" applyFill="1" applyBorder="1"/>
    <xf numFmtId="0" fontId="4" fillId="0" borderId="8" xfId="0" applyFont="1" applyFill="1" applyBorder="1"/>
    <xf numFmtId="49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10" fontId="0" fillId="5" borderId="0" xfId="1" applyNumberFormat="1" applyFont="1" applyFill="1"/>
    <xf numFmtId="0" fontId="5" fillId="0" borderId="0" xfId="0" applyFont="1" applyFill="1"/>
    <xf numFmtId="0" fontId="0" fillId="0" borderId="0" xfId="0" applyBorder="1"/>
    <xf numFmtId="0" fontId="0" fillId="6" borderId="6" xfId="0" applyFill="1" applyBorder="1"/>
    <xf numFmtId="0" fontId="0" fillId="7" borderId="6" xfId="0" applyFont="1" applyFill="1" applyBorder="1"/>
    <xf numFmtId="0" fontId="3" fillId="0" borderId="0" xfId="0" applyFont="1" applyFill="1"/>
    <xf numFmtId="0" fontId="4" fillId="0" borderId="9" xfId="0" applyFont="1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6" fillId="8" borderId="0" xfId="0" applyFont="1" applyFill="1"/>
    <xf numFmtId="0" fontId="0" fillId="0" borderId="13" xfId="0" applyBorder="1"/>
    <xf numFmtId="0" fontId="0" fillId="0" borderId="14" xfId="0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2" fillId="2" borderId="17" xfId="0" applyFont="1" applyFill="1" applyBorder="1"/>
    <xf numFmtId="0" fontId="0" fillId="3" borderId="16" xfId="0" applyFont="1" applyFill="1" applyBorder="1" applyAlignment="1">
      <alignment vertical="center"/>
    </xf>
    <xf numFmtId="0" fontId="0" fillId="3" borderId="16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4" xfId="0" applyFont="1" applyBorder="1" applyAlignment="1">
      <alignment horizontal="center" vertical="center"/>
    </xf>
    <xf numFmtId="0" fontId="0" fillId="3" borderId="4" xfId="0" applyFont="1" applyFill="1" applyBorder="1" applyAlignment="1">
      <alignment vertical="center"/>
    </xf>
    <xf numFmtId="0" fontId="0" fillId="3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2" fillId="2" borderId="18" xfId="0" applyFont="1" applyFill="1" applyBorder="1"/>
    <xf numFmtId="0" fontId="0" fillId="3" borderId="18" xfId="0" applyFont="1" applyFill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3" borderId="3" xfId="0" applyFont="1" applyFill="1" applyBorder="1" applyAlignment="1">
      <alignment vertical="center"/>
    </xf>
    <xf numFmtId="0" fontId="2" fillId="2" borderId="15" xfId="0" applyFont="1" applyFill="1" applyBorder="1"/>
    <xf numFmtId="0" fontId="0" fillId="3" borderId="16" xfId="0" applyFont="1" applyFill="1" applyBorder="1" applyAlignment="1">
      <alignment horizontal="left" vertical="center" wrapText="1"/>
    </xf>
    <xf numFmtId="0" fontId="0" fillId="0" borderId="4" xfId="0" applyFont="1" applyBorder="1" applyAlignment="1">
      <alignment horizontal="left" vertical="center" wrapText="1"/>
    </xf>
    <xf numFmtId="0" fontId="0" fillId="3" borderId="4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vertical="center"/>
    </xf>
    <xf numFmtId="0" fontId="0" fillId="0" borderId="19" xfId="0" applyFont="1" applyBorder="1" applyAlignment="1">
      <alignment vertical="center"/>
    </xf>
    <xf numFmtId="0" fontId="0" fillId="0" borderId="19" xfId="0" applyFont="1" applyBorder="1" applyAlignment="1">
      <alignment horizontal="center" vertical="center"/>
    </xf>
    <xf numFmtId="0" fontId="0" fillId="0" borderId="19" xfId="0" applyFont="1" applyBorder="1" applyAlignment="1">
      <alignment horizontal="left"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 wrapText="1"/>
    </xf>
    <xf numFmtId="0" fontId="0" fillId="0" borderId="12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quotePrefix="1" applyProtection="1">
      <protection locked="0"/>
    </xf>
    <xf numFmtId="0" fontId="0" fillId="0" borderId="12" xfId="0" applyBorder="1" applyAlignment="1"/>
    <xf numFmtId="0" fontId="0" fillId="0" borderId="11" xfId="0" applyBorder="1" applyAlignment="1"/>
    <xf numFmtId="0" fontId="0" fillId="0" borderId="10" xfId="0" applyBorder="1" applyAlignment="1"/>
    <xf numFmtId="0" fontId="2" fillId="2" borderId="20" xfId="0" applyFont="1" applyFill="1" applyBorder="1"/>
    <xf numFmtId="0" fontId="0" fillId="8" borderId="0" xfId="0" applyFill="1" applyBorder="1" applyAlignment="1"/>
    <xf numFmtId="0" fontId="6" fillId="8" borderId="0" xfId="0" applyFont="1" applyFill="1" applyAlignment="1">
      <alignment horizontal="right"/>
    </xf>
    <xf numFmtId="0" fontId="8" fillId="0" borderId="14" xfId="0" applyFont="1" applyFill="1" applyBorder="1"/>
    <xf numFmtId="0" fontId="3" fillId="0" borderId="6" xfId="0" applyFont="1" applyFill="1" applyBorder="1" applyProtection="1">
      <protection locked="0"/>
    </xf>
  </cellXfs>
  <cellStyles count="2">
    <cellStyle name="Prozent" xfId="1" builtinId="5"/>
    <cellStyle name="Standard" xfId="0" builtinId="0"/>
  </cellStyles>
  <dxfs count="29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numFmt numFmtId="14" formatCode="0.00%"/>
      <fill>
        <patternFill patternType="solid">
          <fgColor indexed="64"/>
          <bgColor rgb="FFFF0000"/>
        </patternFill>
      </fill>
    </dxf>
    <dxf>
      <numFmt numFmtId="14" formatCode="0.00%"/>
      <fill>
        <patternFill patternType="solid">
          <fgColor indexed="64"/>
          <bgColor rgb="FFFF0000"/>
        </patternFill>
      </fill>
    </dxf>
    <dxf>
      <numFmt numFmtId="14" formatCode="0.00%"/>
      <fill>
        <patternFill patternType="solid">
          <fgColor indexed="64"/>
          <bgColor rgb="FF00B050"/>
        </patternFill>
      </fill>
    </dxf>
    <dxf>
      <numFmt numFmtId="14" formatCode="0.00%"/>
      <fill>
        <patternFill patternType="solid">
          <fgColor indexed="64"/>
          <bgColor rgb="FF00B050"/>
        </patternFill>
      </fill>
    </dxf>
    <dxf>
      <numFmt numFmtId="14" formatCode="0.00%"/>
      <fill>
        <patternFill patternType="solid">
          <fgColor indexed="64"/>
          <bgColor rgb="FF00B05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31</xdr:row>
          <xdr:rowOff>171450</xdr:rowOff>
        </xdr:from>
        <xdr:to>
          <xdr:col>2</xdr:col>
          <xdr:colOff>9525</xdr:colOff>
          <xdr:row>33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dice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</xdr:row>
          <xdr:rowOff>171450</xdr:rowOff>
        </xdr:from>
        <xdr:to>
          <xdr:col>6</xdr:col>
          <xdr:colOff>9525</xdr:colOff>
          <xdr:row>33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le3" displayName="Tabelle3" ref="A3:K45" totalsRowShown="0" headerRowDxfId="28" tableBorderDxfId="27">
  <autoFilter ref="A3:K45">
    <filterColumn colId="0">
      <customFilters>
        <customFilter operator="notEqual" val=" "/>
      </customFilters>
    </filterColumn>
  </autoFilter>
  <tableColumns count="11">
    <tableColumn id="1" name="Tag" dataDxfId="26">
      <calculatedColumnFormula>Simulation!A5</calculatedColumnFormula>
    </tableColumn>
    <tableColumn id="2" name="Challenge" dataDxfId="25">
      <calculatedColumnFormula>Simulation!D5</calculatedColumnFormula>
    </tableColumn>
    <tableColumn id="3" name="PC" dataDxfId="24">
      <calculatedColumnFormula>Simulation!E5</calculatedColumnFormula>
    </tableColumn>
    <tableColumn id="4" name="Skill" dataDxfId="23">
      <calculatedColumnFormula>Simulation!F5</calculatedColumnFormula>
    </tableColumn>
    <tableColumn id="5" name="DC">
      <calculatedColumnFormula>Simulation!G5</calculatedColumnFormula>
    </tableColumn>
    <tableColumn id="6" name="Roll">
      <calculatedColumnFormula>Simulation!H5</calculatedColumnFormula>
    </tableColumn>
    <tableColumn id="7" name="PC2" dataDxfId="22">
      <calculatedColumnFormula>Simulation!I5</calculatedColumnFormula>
    </tableColumn>
    <tableColumn id="8" name="Skill2" dataDxfId="21">
      <calculatedColumnFormula>Simulation!J5</calculatedColumnFormula>
    </tableColumn>
    <tableColumn id="9" name="DC2" dataDxfId="20">
      <calculatedColumnFormula>Simulation!K5</calculatedColumnFormula>
    </tableColumn>
    <tableColumn id="10" name="Roll2" dataDxfId="19">
      <calculatedColumnFormula>Simulation!L5</calculatedColumnFormula>
    </tableColumn>
    <tableColumn id="11" name="Ergebnis" dataDxfId="18">
      <calculatedColumnFormula>Simulation!N5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6" name="Tabelle6" displayName="Tabelle6" ref="A1:H27" totalsRowCount="1" headerRowDxfId="17" dataDxfId="16">
  <autoFilter ref="A1:H26"/>
  <sortState ref="A2:H26">
    <sortCondition ref="A1:A26"/>
  </sortState>
  <tableColumns count="8">
    <tableColumn id="1" name="Challenges" dataDxfId="15" totalsRowDxfId="14"/>
    <tableColumn id="2" name="Bester für Skill 1" dataDxfId="13" totalsRowDxfId="12">
      <calculatedColumnFormula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calculatedColumnFormula>
    </tableColumn>
    <tableColumn id="3" name="Bester für Skill 2" dataDxfId="11" totalsRowDxfId="10">
      <calculatedColumnFormula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calculatedColumnFormula>
    </tableColumn>
    <tableColumn id="8" name="Wkt insg. Success" totalsRowFunction="custom" totalsRowDxfId="9">
      <calculatedColumnFormula>Tabelle6[[#This Row],[Wkt Crit Success]]+Tabelle6[[#This Row],[Wkt Success2]]</calculatedColumnFormula>
      <totalsRowFormula>SUM(Tabelle6[Wkt insg. Success])/25</totalsRowFormula>
    </tableColumn>
    <tableColumn id="4" name="Wkt Crit Success" totalsRowFunction="custom" totalsRowDxfId="8">
      <calculatedColumnFormula>LOOKUP(Tabelle6[[#This Row],[Challenges]],Rechnungen!$A$3:$A$27,Rechnungen!$AB$3:$AB$27)</calculatedColumnFormula>
      <totalsRowFormula>SUM(Tabelle6[Wkt Crit Success])/25</totalsRowFormula>
    </tableColumn>
    <tableColumn id="5" name="Wkt Success2" totalsRowFunction="custom" totalsRowDxfId="7">
      <calculatedColumnFormula>LOOKUP(Tabelle6[[#This Row],[Challenges]],Rechnungen!$A$3:$A$27,Rechnungen!$AC$3:$AC$27)</calculatedColumnFormula>
      <totalsRowFormula>SUM(Tabelle6[Wkt Success2])/25</totalsRowFormula>
    </tableColumn>
    <tableColumn id="6" name="Wkt Fail" totalsRowFunction="custom" totalsRowDxfId="6">
      <calculatedColumnFormula>LOOKUP(Tabelle6[[#This Row],[Challenges]],Rechnungen!$A$3:$A$27,Rechnungen!$AD$3:$AD$27)</calculatedColumnFormula>
      <totalsRowFormula>SUM(Tabelle6[Wkt Fail])/25</totalsRowFormula>
    </tableColumn>
    <tableColumn id="7" name="Wkt Crit Fail" totalsRowFunction="custom" totalsRowDxfId="5">
      <calculatedColumnFormula>LOOKUP(Tabelle6[[#This Row],[Challenges]],Rechnungen!$A$3:$A$27,Rechnungen!$AE$3:$AE$27)</calculatedColumnFormula>
      <totalsRowFormula>SUM(Tabelle6[Wkt Crit Fail])/25</totalsRow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G36"/>
  <sheetViews>
    <sheetView tabSelected="1" zoomScaleNormal="100" workbookViewId="0">
      <selection activeCell="C4" sqref="C4"/>
    </sheetView>
  </sheetViews>
  <sheetFormatPr baseColWidth="10" defaultRowHeight="15" x14ac:dyDescent="0.25"/>
  <cols>
    <col min="1" max="1" width="14.7109375" customWidth="1"/>
  </cols>
  <sheetData>
    <row r="1" spans="1:7" ht="16.5" thickBot="1" x14ac:dyDescent="0.3">
      <c r="A1" s="39" t="s">
        <v>124</v>
      </c>
      <c r="B1" s="40"/>
      <c r="C1" s="39" t="s">
        <v>129</v>
      </c>
      <c r="D1" s="40"/>
    </row>
    <row r="2" spans="1:7" ht="16.5" thickBot="1" x14ac:dyDescent="0.3">
      <c r="A2" s="39" t="s">
        <v>128</v>
      </c>
      <c r="B2" s="38"/>
      <c r="C2" s="37"/>
      <c r="D2" s="37"/>
      <c r="E2" s="37"/>
      <c r="F2" s="37"/>
      <c r="G2" s="36"/>
    </row>
    <row r="3" spans="1:7" x14ac:dyDescent="0.25">
      <c r="A3" s="17" t="s">
        <v>1</v>
      </c>
      <c r="B3" s="35" t="s">
        <v>258</v>
      </c>
      <c r="C3" s="35" t="s">
        <v>259</v>
      </c>
      <c r="D3" s="35" t="s">
        <v>260</v>
      </c>
      <c r="E3" s="35" t="s">
        <v>261</v>
      </c>
      <c r="F3" s="35" t="s">
        <v>127</v>
      </c>
      <c r="G3" s="35" t="s">
        <v>126</v>
      </c>
    </row>
    <row r="4" spans="1:7" x14ac:dyDescent="0.25">
      <c r="A4" s="83" t="s">
        <v>125</v>
      </c>
      <c r="B4" s="18"/>
      <c r="C4" s="18"/>
      <c r="D4" s="18"/>
      <c r="E4" s="18"/>
      <c r="F4" s="18"/>
      <c r="G4" s="18"/>
    </row>
    <row r="5" spans="1:7" x14ac:dyDescent="0.25">
      <c r="A5" s="18" t="s">
        <v>20</v>
      </c>
      <c r="B5" s="18"/>
      <c r="C5" s="18"/>
      <c r="D5" s="18"/>
      <c r="E5" s="18"/>
      <c r="F5" s="18"/>
      <c r="G5" s="18"/>
    </row>
    <row r="6" spans="1:7" x14ac:dyDescent="0.25">
      <c r="A6" s="18" t="s">
        <v>14</v>
      </c>
      <c r="B6" s="18"/>
      <c r="C6" s="18"/>
      <c r="D6" s="18"/>
      <c r="E6" s="18"/>
      <c r="F6" s="18"/>
      <c r="G6" s="18"/>
    </row>
    <row r="7" spans="1:7" x14ac:dyDescent="0.25">
      <c r="A7" s="18" t="s">
        <v>11</v>
      </c>
      <c r="B7" s="18"/>
      <c r="C7" s="18"/>
      <c r="D7" s="18"/>
      <c r="E7" s="18"/>
      <c r="F7" s="18"/>
      <c r="G7" s="18"/>
    </row>
    <row r="8" spans="1:7" x14ac:dyDescent="0.25">
      <c r="A8" s="18" t="s">
        <v>33</v>
      </c>
      <c r="B8" s="18"/>
      <c r="C8" s="18"/>
      <c r="D8" s="18"/>
      <c r="E8" s="18"/>
      <c r="F8" s="18"/>
      <c r="G8" s="18"/>
    </row>
    <row r="9" spans="1:7" x14ac:dyDescent="0.25">
      <c r="A9" s="18" t="s">
        <v>53</v>
      </c>
      <c r="B9" s="18"/>
      <c r="C9" s="18"/>
      <c r="D9" s="18"/>
      <c r="E9" s="18"/>
      <c r="F9" s="18"/>
      <c r="G9" s="18"/>
    </row>
    <row r="10" spans="1:7" x14ac:dyDescent="0.25">
      <c r="A10" s="18" t="s">
        <v>12</v>
      </c>
      <c r="B10" s="18"/>
      <c r="C10" s="18"/>
      <c r="D10" s="18"/>
      <c r="E10" s="18"/>
      <c r="F10" s="18"/>
      <c r="G10" s="18"/>
    </row>
    <row r="11" spans="1:7" x14ac:dyDescent="0.25">
      <c r="A11" s="18" t="s">
        <v>29</v>
      </c>
      <c r="B11" s="18"/>
      <c r="C11" s="18"/>
      <c r="D11" s="18"/>
      <c r="E11" s="18"/>
      <c r="F11" s="18"/>
      <c r="G11" s="18"/>
    </row>
    <row r="12" spans="1:7" x14ac:dyDescent="0.25">
      <c r="A12" s="18" t="s">
        <v>15</v>
      </c>
      <c r="B12" s="18"/>
      <c r="C12" s="18"/>
      <c r="D12" s="18"/>
      <c r="E12" s="18"/>
      <c r="F12" s="18"/>
      <c r="G12" s="18"/>
    </row>
    <row r="13" spans="1:7" x14ac:dyDescent="0.25">
      <c r="A13" s="18" t="s">
        <v>22</v>
      </c>
      <c r="B13" s="18"/>
      <c r="C13" s="18"/>
      <c r="D13" s="18"/>
      <c r="E13" s="18"/>
      <c r="F13" s="18"/>
      <c r="G13" s="18"/>
    </row>
    <row r="14" spans="1:7" x14ac:dyDescent="0.25">
      <c r="A14" s="18" t="s">
        <v>21</v>
      </c>
      <c r="B14" s="18"/>
      <c r="C14" s="18"/>
      <c r="D14" s="18"/>
      <c r="E14" s="18"/>
      <c r="F14" s="18"/>
      <c r="G14" s="18"/>
    </row>
    <row r="15" spans="1:7" x14ac:dyDescent="0.25">
      <c r="A15" s="18" t="s">
        <v>9</v>
      </c>
      <c r="B15" s="18"/>
      <c r="C15" s="18"/>
      <c r="D15" s="18"/>
      <c r="E15" s="18"/>
      <c r="F15" s="18"/>
      <c r="G15" s="18"/>
    </row>
    <row r="16" spans="1:7" x14ac:dyDescent="0.25">
      <c r="A16" s="18" t="s">
        <v>5</v>
      </c>
      <c r="B16" s="18"/>
      <c r="C16" s="18"/>
      <c r="D16" s="18"/>
      <c r="E16" s="18"/>
      <c r="F16" s="18"/>
      <c r="G16" s="18"/>
    </row>
    <row r="17" spans="1:7" x14ac:dyDescent="0.25">
      <c r="A17" s="18" t="s">
        <v>8</v>
      </c>
      <c r="B17" s="18"/>
      <c r="C17" s="18"/>
      <c r="D17" s="18"/>
      <c r="E17" s="18"/>
      <c r="F17" s="18"/>
      <c r="G17" s="18"/>
    </row>
    <row r="18" spans="1:7" x14ac:dyDescent="0.25">
      <c r="A18" s="18" t="s">
        <v>24</v>
      </c>
      <c r="B18" s="18"/>
      <c r="C18" s="18"/>
      <c r="D18" s="18"/>
      <c r="E18" s="18"/>
      <c r="F18" s="18"/>
      <c r="G18" s="18"/>
    </row>
    <row r="19" spans="1:7" x14ac:dyDescent="0.25">
      <c r="A19" s="18" t="s">
        <v>30</v>
      </c>
      <c r="B19" s="18"/>
      <c r="C19" s="18"/>
      <c r="D19" s="18"/>
      <c r="E19" s="18"/>
      <c r="F19" s="18"/>
      <c r="G19" s="18"/>
    </row>
    <row r="20" spans="1:7" x14ac:dyDescent="0.25">
      <c r="A20" s="18" t="s">
        <v>19</v>
      </c>
      <c r="B20" s="18"/>
      <c r="C20" s="18"/>
      <c r="D20" s="18"/>
      <c r="E20" s="18"/>
      <c r="F20" s="18"/>
      <c r="G20" s="18"/>
    </row>
    <row r="21" spans="1:7" x14ac:dyDescent="0.25">
      <c r="A21" s="18" t="s">
        <v>31</v>
      </c>
      <c r="B21" s="18"/>
      <c r="C21" s="18"/>
      <c r="D21" s="18"/>
      <c r="E21" s="18"/>
      <c r="F21" s="18"/>
      <c r="G21" s="18"/>
    </row>
    <row r="22" spans="1:7" x14ac:dyDescent="0.25">
      <c r="A22" s="18" t="s">
        <v>25</v>
      </c>
      <c r="B22" s="18"/>
      <c r="C22" s="18"/>
      <c r="D22" s="18"/>
      <c r="E22" s="18"/>
      <c r="F22" s="18"/>
      <c r="G22" s="18"/>
    </row>
    <row r="23" spans="1:7" x14ac:dyDescent="0.25">
      <c r="A23" s="18" t="s">
        <v>32</v>
      </c>
      <c r="B23" s="18"/>
      <c r="C23" s="18"/>
      <c r="D23" s="18"/>
      <c r="E23" s="18"/>
      <c r="F23" s="18"/>
      <c r="G23" s="18"/>
    </row>
    <row r="24" spans="1:7" x14ac:dyDescent="0.25">
      <c r="A24" s="18" t="s">
        <v>10</v>
      </c>
      <c r="B24" s="18"/>
      <c r="C24" s="18"/>
      <c r="D24" s="18"/>
      <c r="E24" s="18"/>
      <c r="F24" s="18"/>
      <c r="G24" s="18"/>
    </row>
    <row r="25" spans="1:7" x14ac:dyDescent="0.25">
      <c r="A25" s="18" t="s">
        <v>26</v>
      </c>
      <c r="B25" s="18"/>
      <c r="C25" s="18"/>
      <c r="D25" s="18"/>
      <c r="E25" s="18"/>
      <c r="F25" s="18"/>
      <c r="G25" s="18"/>
    </row>
    <row r="26" spans="1:7" x14ac:dyDescent="0.25">
      <c r="A26" s="18" t="s">
        <v>13</v>
      </c>
      <c r="B26" s="18"/>
      <c r="C26" s="18"/>
      <c r="D26" s="18"/>
      <c r="E26" s="18"/>
      <c r="F26" s="18"/>
      <c r="G26" s="18"/>
    </row>
    <row r="27" spans="1:7" x14ac:dyDescent="0.25">
      <c r="A27" s="18" t="s">
        <v>16</v>
      </c>
      <c r="B27" s="18"/>
      <c r="C27" s="18"/>
      <c r="D27" s="18"/>
      <c r="E27" s="18"/>
      <c r="F27" s="18"/>
      <c r="G27" s="18"/>
    </row>
    <row r="28" spans="1:7" x14ac:dyDescent="0.25">
      <c r="A28" s="18" t="s">
        <v>17</v>
      </c>
      <c r="B28" s="18"/>
      <c r="C28" s="18"/>
      <c r="D28" s="18"/>
      <c r="E28" s="18"/>
      <c r="F28" s="18"/>
      <c r="G28" s="18"/>
    </row>
    <row r="29" spans="1:7" x14ac:dyDescent="0.25">
      <c r="A29" s="18" t="s">
        <v>2</v>
      </c>
      <c r="B29" s="18"/>
      <c r="C29" s="18"/>
      <c r="D29" s="18"/>
      <c r="E29" s="18"/>
      <c r="F29" s="18"/>
      <c r="G29" s="18"/>
    </row>
    <row r="30" spans="1:7" x14ac:dyDescent="0.25">
      <c r="A30" s="18" t="s">
        <v>27</v>
      </c>
      <c r="B30" s="18"/>
      <c r="C30" s="18"/>
      <c r="D30" s="18"/>
      <c r="E30" s="18"/>
      <c r="F30" s="18"/>
      <c r="G30" s="18"/>
    </row>
    <row r="31" spans="1:7" x14ac:dyDescent="0.25">
      <c r="A31" s="18" t="s">
        <v>4</v>
      </c>
      <c r="B31" s="18"/>
      <c r="C31" s="18"/>
      <c r="D31" s="18"/>
      <c r="E31" s="18"/>
      <c r="F31" s="18"/>
      <c r="G31" s="18"/>
    </row>
    <row r="32" spans="1:7" x14ac:dyDescent="0.25">
      <c r="A32" s="34"/>
      <c r="B32" s="34"/>
      <c r="C32" s="34"/>
      <c r="D32" s="34"/>
      <c r="E32" s="34"/>
    </row>
    <row r="33" spans="1:5" x14ac:dyDescent="0.25">
      <c r="A33" s="34"/>
      <c r="B33" s="34"/>
      <c r="C33" s="34"/>
      <c r="D33" s="34"/>
      <c r="E33" s="34"/>
    </row>
    <row r="34" spans="1:5" x14ac:dyDescent="0.25">
      <c r="A34" s="34"/>
      <c r="B34" s="34"/>
      <c r="C34" s="34"/>
      <c r="D34" s="34"/>
      <c r="E34" s="34"/>
    </row>
    <row r="35" spans="1:5" x14ac:dyDescent="0.25">
      <c r="A35" s="34"/>
      <c r="B35" s="34"/>
      <c r="C35" s="34"/>
      <c r="D35" s="34"/>
      <c r="E35" s="34"/>
    </row>
    <row r="36" spans="1:5" x14ac:dyDescent="0.25">
      <c r="A36" s="34"/>
      <c r="B36" s="34"/>
      <c r="C36" s="34"/>
      <c r="D36" s="34"/>
      <c r="E36" s="34"/>
    </row>
  </sheetData>
  <conditionalFormatting sqref="A5:A31">
    <cfRule type="expression" dxfId="4" priority="1">
      <formula>MAX($B5:$G5)&lt;10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oll_dice">
                <anchor moveWithCells="1" sizeWithCells="1">
                  <from>
                    <xdr:col>0</xdr:col>
                    <xdr:colOff>962025</xdr:colOff>
                    <xdr:row>31</xdr:row>
                    <xdr:rowOff>171450</xdr:rowOff>
                  </from>
                  <to>
                    <xdr:col>2</xdr:col>
                    <xdr:colOff>9525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pdf">
                <anchor moveWithCells="1" sizeWithCells="1">
                  <from>
                    <xdr:col>4</xdr:col>
                    <xdr:colOff>0</xdr:colOff>
                    <xdr:row>31</xdr:row>
                    <xdr:rowOff>171450</xdr:rowOff>
                  </from>
                  <to>
                    <xdr:col>6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N357"/>
  <sheetViews>
    <sheetView view="pageLayout" zoomScaleNormal="100" workbookViewId="0">
      <selection activeCell="G47" sqref="G47"/>
    </sheetView>
  </sheetViews>
  <sheetFormatPr baseColWidth="10" defaultRowHeight="15" x14ac:dyDescent="0.25"/>
  <cols>
    <col min="1" max="1" width="3.7109375" customWidth="1"/>
    <col min="2" max="2" width="23.5703125" customWidth="1"/>
    <col min="3" max="3" width="10.5703125" customWidth="1"/>
    <col min="5" max="6" width="3.7109375" customWidth="1"/>
    <col min="7" max="7" width="11.42578125" customWidth="1"/>
    <col min="8" max="8" width="9.5703125" customWidth="1"/>
    <col min="9" max="10" width="3.7109375" customWidth="1"/>
    <col min="11" max="11" width="45.28515625" customWidth="1"/>
    <col min="13" max="13" width="11.42578125" customWidth="1"/>
    <col min="14" max="14" width="24.28515625" customWidth="1"/>
  </cols>
  <sheetData>
    <row r="1" spans="1:14" ht="16.5" thickBot="1" x14ac:dyDescent="0.3">
      <c r="A1" s="39" t="s">
        <v>130</v>
      </c>
      <c r="B1" s="39"/>
      <c r="C1" s="41">
        <f>Simulation!E1*0.25</f>
        <v>0</v>
      </c>
      <c r="D1" s="39" t="s">
        <v>131</v>
      </c>
      <c r="E1" s="70">
        <f ca="1">IF(Simulation!E1*(VLOOKUP("Complete the item",Simulation!D5:O46,12,FALSE)/100)-Ergebnis!C1&lt;0,0,Simulation!E1*(VLOOKUP("Complete the item",Simulation!D5:O46,12,FALSE)/100)-Ergebnis!C1)</f>
        <v>0</v>
      </c>
      <c r="F1" s="71"/>
      <c r="G1" s="72"/>
      <c r="H1" s="39" t="s">
        <v>132</v>
      </c>
      <c r="I1" s="76">
        <f>Front!B2</f>
        <v>0</v>
      </c>
      <c r="J1" s="77"/>
      <c r="K1" s="78"/>
    </row>
    <row r="2" spans="1:14" ht="16.5" thickBot="1" x14ac:dyDescent="0.3">
      <c r="A2" s="39"/>
      <c r="B2" s="81" t="s">
        <v>251</v>
      </c>
      <c r="C2" s="41">
        <f ca="1">VLOOKUP("Complete the item",Simulation!D5:S32,14,FALSE)</f>
        <v>0</v>
      </c>
      <c r="D2" s="39" t="s">
        <v>252</v>
      </c>
      <c r="E2" s="70">
        <f ca="1">VLOOKUP("Complete the item",Simulation!D5:S32,15,FALSE)</f>
        <v>0</v>
      </c>
      <c r="F2" s="72"/>
      <c r="G2" s="39" t="s">
        <v>253</v>
      </c>
      <c r="H2" s="82">
        <f ca="1">VLOOKUP("Complete the item",Simulation!D5:S32,16,FALSE)</f>
        <v>0</v>
      </c>
      <c r="I2" s="80"/>
      <c r="J2" s="80"/>
      <c r="K2" s="80"/>
    </row>
    <row r="3" spans="1:14" ht="15.75" thickBot="1" x14ac:dyDescent="0.3">
      <c r="A3" s="55" t="s">
        <v>122</v>
      </c>
      <c r="B3" s="46" t="s">
        <v>0</v>
      </c>
      <c r="C3" s="79" t="s">
        <v>255</v>
      </c>
      <c r="D3" s="46" t="s">
        <v>1</v>
      </c>
      <c r="E3" s="79" t="s">
        <v>133</v>
      </c>
      <c r="F3" s="79" t="s">
        <v>134</v>
      </c>
      <c r="G3" s="46" t="s">
        <v>256</v>
      </c>
      <c r="H3" s="79" t="s">
        <v>135</v>
      </c>
      <c r="I3" s="46" t="s">
        <v>254</v>
      </c>
      <c r="J3" s="46" t="s">
        <v>257</v>
      </c>
      <c r="K3" s="59" t="s">
        <v>115</v>
      </c>
    </row>
    <row r="4" spans="1:14" ht="60" x14ac:dyDescent="0.25">
      <c r="A4" s="56">
        <f>Simulation!A5</f>
        <v>1</v>
      </c>
      <c r="B4" s="47" t="str">
        <f>Simulation!D5</f>
        <v>Prepare the vessel</v>
      </c>
      <c r="C4" s="47">
        <f ca="1">Simulation!E5</f>
        <v>0</v>
      </c>
      <c r="D4" s="47" t="str">
        <f>Simulation!F5</f>
        <v>Craft (T)</v>
      </c>
      <c r="E4" s="48">
        <f>Simulation!G5</f>
        <v>27</v>
      </c>
      <c r="F4" s="48" t="str">
        <f ca="1">Simulation!H5</f>
        <v>-</v>
      </c>
      <c r="G4" s="47" t="str">
        <f ca="1">Simulation!I5</f>
        <v/>
      </c>
      <c r="H4" s="47" t="str">
        <f>Simulation!J5</f>
        <v>Spellcraft</v>
      </c>
      <c r="I4" s="48">
        <f>Simulation!K5</f>
        <v>27</v>
      </c>
      <c r="J4" s="48">
        <f ca="1">Simulation!L5</f>
        <v>13</v>
      </c>
      <c r="K4" s="60" t="str">
        <f ca="1">Simulation!N5</f>
        <v>You have a flawed vessel. Set the base cost at 100% of the market price, set the item's creation time to 1 day per 500 gp of the item's market price, and add one flaw.</v>
      </c>
      <c r="L4" s="43"/>
      <c r="M4" s="43"/>
      <c r="N4" s="43"/>
    </row>
    <row r="5" spans="1:14" x14ac:dyDescent="0.25">
      <c r="A5" s="57">
        <f ca="1">Simulation!A6</f>
        <v>0</v>
      </c>
      <c r="B5" s="49" t="str">
        <f ca="1">Simulation!D6</f>
        <v>Complete the item</v>
      </c>
      <c r="C5" s="49" t="str">
        <f ca="1">Simulation!E6</f>
        <v/>
      </c>
      <c r="D5" s="49" t="str">
        <f ca="1">Simulation!F6</f>
        <v>alle Prereq haben</v>
      </c>
      <c r="E5" s="50">
        <f ca="1">Simulation!G6</f>
        <v>1</v>
      </c>
      <c r="F5" s="50">
        <f ca="1">Simulation!H6</f>
        <v>6</v>
      </c>
      <c r="G5" s="49">
        <f ca="1">Simulation!I6</f>
        <v>0</v>
      </c>
      <c r="H5" s="49" t="str">
        <f ca="1">Simulation!J6</f>
        <v>UMD</v>
      </c>
      <c r="I5" s="50">
        <f ca="1">Simulation!K6</f>
        <v>27</v>
      </c>
      <c r="J5" s="50" t="str">
        <f ca="1">Simulation!L6</f>
        <v>-</v>
      </c>
      <c r="K5" s="61" t="str">
        <f ca="1">Simulation!N6</f>
        <v>You have completed the item.</v>
      </c>
      <c r="L5" s="43"/>
      <c r="M5" s="43"/>
      <c r="N5" s="43"/>
    </row>
    <row r="6" spans="1:14" x14ac:dyDescent="0.25">
      <c r="A6" s="58" t="str">
        <f ca="1">Simulation!A7</f>
        <v xml:space="preserve"> </v>
      </c>
      <c r="B6" s="51" t="str">
        <f ca="1">Simulation!D7</f>
        <v xml:space="preserve"> </v>
      </c>
      <c r="C6" s="51" t="str">
        <f ca="1">Simulation!E7</f>
        <v xml:space="preserve"> </v>
      </c>
      <c r="D6" s="51" t="str">
        <f ca="1">Simulation!F7</f>
        <v xml:space="preserve"> </v>
      </c>
      <c r="E6" s="52" t="str">
        <f ca="1">Simulation!G7</f>
        <v xml:space="preserve"> </v>
      </c>
      <c r="F6" s="52" t="str">
        <f ca="1">Simulation!H7</f>
        <v xml:space="preserve"> </v>
      </c>
      <c r="G6" s="51" t="str">
        <f ca="1">Simulation!I7</f>
        <v xml:space="preserve"> </v>
      </c>
      <c r="H6" s="51" t="str">
        <f ca="1">Simulation!J7</f>
        <v xml:space="preserve"> </v>
      </c>
      <c r="I6" s="52" t="str">
        <f ca="1">Simulation!K7</f>
        <v xml:space="preserve"> </v>
      </c>
      <c r="J6" s="52" t="str">
        <f ca="1">Simulation!L7</f>
        <v xml:space="preserve"> </v>
      </c>
      <c r="K6" s="62" t="str">
        <f ca="1">Simulation!N7</f>
        <v xml:space="preserve"> </v>
      </c>
      <c r="L6" s="43"/>
      <c r="M6" s="43"/>
      <c r="N6" s="43"/>
    </row>
    <row r="7" spans="1:14" x14ac:dyDescent="0.25">
      <c r="A7" s="57" t="str">
        <f ca="1">Simulation!A8</f>
        <v xml:space="preserve"> </v>
      </c>
      <c r="B7" s="49" t="str">
        <f ca="1">Simulation!D8</f>
        <v xml:space="preserve"> </v>
      </c>
      <c r="C7" s="49" t="str">
        <f ca="1">Simulation!E8</f>
        <v xml:space="preserve"> </v>
      </c>
      <c r="D7" s="49" t="str">
        <f ca="1">Simulation!F8</f>
        <v xml:space="preserve"> </v>
      </c>
      <c r="E7" s="50" t="str">
        <f ca="1">Simulation!G8</f>
        <v xml:space="preserve"> </v>
      </c>
      <c r="F7" s="50" t="str">
        <f ca="1">Simulation!H8</f>
        <v xml:space="preserve"> </v>
      </c>
      <c r="G7" s="49" t="str">
        <f ca="1">Simulation!I8</f>
        <v xml:space="preserve"> </v>
      </c>
      <c r="H7" s="49" t="str">
        <f ca="1">Simulation!J8</f>
        <v xml:space="preserve"> </v>
      </c>
      <c r="I7" s="50" t="str">
        <f ca="1">Simulation!K8</f>
        <v xml:space="preserve"> </v>
      </c>
      <c r="J7" s="50" t="str">
        <f ca="1">Simulation!L8</f>
        <v xml:space="preserve"> </v>
      </c>
      <c r="K7" s="61" t="str">
        <f ca="1">Simulation!N8</f>
        <v xml:space="preserve"> </v>
      </c>
      <c r="L7" s="43"/>
      <c r="M7" s="43"/>
      <c r="N7" s="43"/>
    </row>
    <row r="8" spans="1:14" x14ac:dyDescent="0.25">
      <c r="A8" s="58" t="str">
        <f ca="1">Simulation!A9</f>
        <v xml:space="preserve"> </v>
      </c>
      <c r="B8" s="51" t="str">
        <f ca="1">Simulation!D9</f>
        <v xml:space="preserve"> </v>
      </c>
      <c r="C8" s="51" t="str">
        <f ca="1">Simulation!E9</f>
        <v xml:space="preserve"> </v>
      </c>
      <c r="D8" s="51" t="str">
        <f ca="1">Simulation!F9</f>
        <v xml:space="preserve"> </v>
      </c>
      <c r="E8" s="52" t="str">
        <f ca="1">Simulation!G9</f>
        <v xml:space="preserve"> </v>
      </c>
      <c r="F8" s="52" t="str">
        <f ca="1">Simulation!H9</f>
        <v xml:space="preserve"> </v>
      </c>
      <c r="G8" s="51" t="str">
        <f ca="1">Simulation!I9</f>
        <v xml:space="preserve"> </v>
      </c>
      <c r="H8" s="51" t="str">
        <f ca="1">Simulation!J9</f>
        <v xml:space="preserve"> </v>
      </c>
      <c r="I8" s="52" t="str">
        <f ca="1">Simulation!K9</f>
        <v xml:space="preserve"> </v>
      </c>
      <c r="J8" s="52" t="str">
        <f ca="1">Simulation!L9</f>
        <v xml:space="preserve"> </v>
      </c>
      <c r="K8" s="62" t="str">
        <f ca="1">Simulation!N9</f>
        <v xml:space="preserve"> </v>
      </c>
      <c r="L8" s="43"/>
      <c r="M8" s="43"/>
      <c r="N8" s="43"/>
    </row>
    <row r="9" spans="1:14" x14ac:dyDescent="0.25">
      <c r="A9" s="57" t="str">
        <f ca="1">Simulation!A10</f>
        <v xml:space="preserve"> </v>
      </c>
      <c r="B9" s="49" t="str">
        <f ca="1">Simulation!D10</f>
        <v xml:space="preserve"> </v>
      </c>
      <c r="C9" s="49" t="str">
        <f ca="1">Simulation!E10</f>
        <v xml:space="preserve"> </v>
      </c>
      <c r="D9" s="49" t="str">
        <f ca="1">Simulation!F10</f>
        <v xml:space="preserve"> </v>
      </c>
      <c r="E9" s="50" t="str">
        <f ca="1">Simulation!G10</f>
        <v xml:space="preserve"> </v>
      </c>
      <c r="F9" s="50" t="str">
        <f ca="1">Simulation!H10</f>
        <v xml:space="preserve"> </v>
      </c>
      <c r="G9" s="49" t="str">
        <f ca="1">Simulation!I10</f>
        <v xml:space="preserve"> </v>
      </c>
      <c r="H9" s="49" t="str">
        <f ca="1">Simulation!J10</f>
        <v xml:space="preserve"> </v>
      </c>
      <c r="I9" s="50" t="str">
        <f ca="1">Simulation!K10</f>
        <v xml:space="preserve"> </v>
      </c>
      <c r="J9" s="50" t="str">
        <f ca="1">Simulation!L10</f>
        <v xml:space="preserve"> </v>
      </c>
      <c r="K9" s="61" t="str">
        <f ca="1">Simulation!N10</f>
        <v xml:space="preserve"> </v>
      </c>
      <c r="L9" s="43"/>
      <c r="M9" s="43"/>
      <c r="N9" s="43"/>
    </row>
    <row r="10" spans="1:14" x14ac:dyDescent="0.25">
      <c r="A10" s="58" t="str">
        <f ca="1">Simulation!A11</f>
        <v xml:space="preserve"> </v>
      </c>
      <c r="B10" s="51" t="str">
        <f ca="1">Simulation!D11</f>
        <v xml:space="preserve"> </v>
      </c>
      <c r="C10" s="51" t="str">
        <f ca="1">Simulation!E11</f>
        <v xml:space="preserve"> </v>
      </c>
      <c r="D10" s="51" t="str">
        <f ca="1">Simulation!F11</f>
        <v xml:space="preserve"> </v>
      </c>
      <c r="E10" s="52" t="str">
        <f ca="1">Simulation!G11</f>
        <v xml:space="preserve"> </v>
      </c>
      <c r="F10" s="52" t="str">
        <f ca="1">Simulation!H11</f>
        <v xml:space="preserve"> </v>
      </c>
      <c r="G10" s="51" t="str">
        <f ca="1">Simulation!I11</f>
        <v xml:space="preserve"> </v>
      </c>
      <c r="H10" s="51" t="str">
        <f ca="1">Simulation!J11</f>
        <v xml:space="preserve"> </v>
      </c>
      <c r="I10" s="52" t="str">
        <f ca="1">Simulation!K11</f>
        <v xml:space="preserve"> </v>
      </c>
      <c r="J10" s="52" t="str">
        <f ca="1">Simulation!L11</f>
        <v xml:space="preserve"> </v>
      </c>
      <c r="K10" s="62" t="str">
        <f ca="1">Simulation!N11</f>
        <v xml:space="preserve"> </v>
      </c>
      <c r="L10" s="43"/>
      <c r="M10" s="43"/>
      <c r="N10" s="43"/>
    </row>
    <row r="11" spans="1:14" x14ac:dyDescent="0.25">
      <c r="A11" s="57" t="str">
        <f ca="1">Simulation!A12</f>
        <v xml:space="preserve"> </v>
      </c>
      <c r="B11" s="49" t="str">
        <f ca="1">Simulation!D12</f>
        <v xml:space="preserve"> </v>
      </c>
      <c r="C11" s="49" t="str">
        <f ca="1">Simulation!E12</f>
        <v xml:space="preserve"> </v>
      </c>
      <c r="D11" s="49" t="str">
        <f ca="1">Simulation!F12</f>
        <v xml:space="preserve"> </v>
      </c>
      <c r="E11" s="50" t="str">
        <f ca="1">Simulation!G12</f>
        <v xml:space="preserve"> </v>
      </c>
      <c r="F11" s="50" t="str">
        <f ca="1">Simulation!H12</f>
        <v xml:space="preserve"> </v>
      </c>
      <c r="G11" s="49" t="str">
        <f ca="1">Simulation!I12</f>
        <v xml:space="preserve"> </v>
      </c>
      <c r="H11" s="49" t="str">
        <f ca="1">Simulation!J12</f>
        <v xml:space="preserve"> </v>
      </c>
      <c r="I11" s="50" t="str">
        <f ca="1">Simulation!K12</f>
        <v xml:space="preserve"> </v>
      </c>
      <c r="J11" s="50" t="str">
        <f ca="1">Simulation!L12</f>
        <v xml:space="preserve"> </v>
      </c>
      <c r="K11" s="61" t="str">
        <f ca="1">Simulation!N12</f>
        <v xml:space="preserve"> </v>
      </c>
      <c r="L11" s="43"/>
      <c r="M11" s="43"/>
      <c r="N11" s="43"/>
    </row>
    <row r="12" spans="1:14" x14ac:dyDescent="0.25">
      <c r="A12" s="58" t="str">
        <f ca="1">Simulation!A13</f>
        <v xml:space="preserve"> </v>
      </c>
      <c r="B12" s="51" t="str">
        <f ca="1">Simulation!D13</f>
        <v xml:space="preserve"> </v>
      </c>
      <c r="C12" s="51" t="str">
        <f ca="1">Simulation!E13</f>
        <v xml:space="preserve"> </v>
      </c>
      <c r="D12" s="51" t="str">
        <f ca="1">Simulation!F13</f>
        <v xml:space="preserve"> </v>
      </c>
      <c r="E12" s="52" t="str">
        <f ca="1">Simulation!G13</f>
        <v xml:space="preserve"> </v>
      </c>
      <c r="F12" s="52" t="str">
        <f ca="1">Simulation!H13</f>
        <v xml:space="preserve"> </v>
      </c>
      <c r="G12" s="51" t="str">
        <f ca="1">Simulation!I13</f>
        <v xml:space="preserve"> </v>
      </c>
      <c r="H12" s="51" t="str">
        <f ca="1">Simulation!J13</f>
        <v xml:space="preserve"> </v>
      </c>
      <c r="I12" s="52" t="str">
        <f ca="1">Simulation!K13</f>
        <v xml:space="preserve"> </v>
      </c>
      <c r="J12" s="52" t="str">
        <f ca="1">Simulation!L13</f>
        <v xml:space="preserve"> </v>
      </c>
      <c r="K12" s="62" t="str">
        <f ca="1">Simulation!N13</f>
        <v xml:space="preserve"> </v>
      </c>
      <c r="L12" s="43"/>
      <c r="M12" s="43"/>
      <c r="N12" s="43"/>
    </row>
    <row r="13" spans="1:14" ht="30" x14ac:dyDescent="0.25">
      <c r="A13" s="57" t="str">
        <f ca="1">Simulation!A14</f>
        <v xml:space="preserve"> </v>
      </c>
      <c r="B13" s="49" t="str">
        <f ca="1">Simulation!D14</f>
        <v xml:space="preserve"> </v>
      </c>
      <c r="C13" s="49" t="str">
        <f ca="1">Simulation!E14</f>
        <v xml:space="preserve"> </v>
      </c>
      <c r="D13" s="49" t="str">
        <f ca="1">Simulation!F14</f>
        <v xml:space="preserve"> </v>
      </c>
      <c r="E13" s="50" t="str">
        <f ca="1">Simulation!G14</f>
        <v xml:space="preserve"> </v>
      </c>
      <c r="F13" s="50" t="str">
        <f ca="1">Simulation!H14</f>
        <v xml:space="preserve"> </v>
      </c>
      <c r="G13" s="49" t="str">
        <f ca="1">Simulation!I14</f>
        <v xml:space="preserve"> </v>
      </c>
      <c r="H13" s="49" t="str">
        <f ca="1">Simulation!J14</f>
        <v xml:space="preserve"> </v>
      </c>
      <c r="I13" s="50" t="str">
        <f ca="1">Simulation!K14</f>
        <v xml:space="preserve"> </v>
      </c>
      <c r="J13" s="50" t="str">
        <f ca="1">Simulation!L14</f>
        <v xml:space="preserve"> </v>
      </c>
      <c r="K13" s="61" t="str">
        <f ca="1">Simulation!N14</f>
        <v xml:space="preserve"> </v>
      </c>
      <c r="L13" s="43"/>
      <c r="M13" s="43"/>
      <c r="N13" s="43"/>
    </row>
    <row r="14" spans="1:14" x14ac:dyDescent="0.25">
      <c r="A14" s="58" t="str">
        <f ca="1">Simulation!A15</f>
        <v xml:space="preserve"> </v>
      </c>
      <c r="B14" s="51" t="str">
        <f ca="1">Simulation!D15</f>
        <v xml:space="preserve"> </v>
      </c>
      <c r="C14" s="51" t="str">
        <f ca="1">Simulation!E15</f>
        <v xml:space="preserve"> </v>
      </c>
      <c r="D14" s="51" t="str">
        <f ca="1">Simulation!F15</f>
        <v xml:space="preserve"> </v>
      </c>
      <c r="E14" s="51" t="str">
        <f ca="1">Simulation!G15</f>
        <v xml:space="preserve"> </v>
      </c>
      <c r="F14" s="51" t="str">
        <f ca="1">Simulation!H15</f>
        <v xml:space="preserve"> </v>
      </c>
      <c r="G14" s="51" t="str">
        <f ca="1">Simulation!I15</f>
        <v xml:space="preserve"> </v>
      </c>
      <c r="H14" s="51" t="str">
        <f ca="1">Simulation!J15</f>
        <v xml:space="preserve"> </v>
      </c>
      <c r="I14" s="52" t="str">
        <f ca="1">Simulation!K15</f>
        <v xml:space="preserve"> </v>
      </c>
      <c r="J14" s="52" t="str">
        <f ca="1">Simulation!L15</f>
        <v xml:space="preserve"> </v>
      </c>
      <c r="K14" s="62" t="str">
        <f ca="1">Simulation!N15</f>
        <v xml:space="preserve"> </v>
      </c>
      <c r="L14" s="44"/>
      <c r="M14" s="44"/>
      <c r="N14" s="44"/>
    </row>
    <row r="15" spans="1:14" x14ac:dyDescent="0.25">
      <c r="A15" s="57" t="str">
        <f ca="1">Simulation!A16</f>
        <v xml:space="preserve"> </v>
      </c>
      <c r="B15" s="49" t="str">
        <f ca="1">Simulation!D16</f>
        <v xml:space="preserve"> </v>
      </c>
      <c r="C15" s="49" t="str">
        <f ca="1">Simulation!E16</f>
        <v xml:space="preserve"> </v>
      </c>
      <c r="D15" s="49" t="str">
        <f ca="1">Simulation!F16</f>
        <v xml:space="preserve"> </v>
      </c>
      <c r="E15" s="49" t="str">
        <f ca="1">Simulation!G16</f>
        <v xml:space="preserve"> </v>
      </c>
      <c r="F15" s="49" t="str">
        <f ca="1">Simulation!H16</f>
        <v xml:space="preserve"> </v>
      </c>
      <c r="G15" s="49" t="str">
        <f ca="1">Simulation!I16</f>
        <v xml:space="preserve"> </v>
      </c>
      <c r="H15" s="49" t="str">
        <f ca="1">Simulation!J16</f>
        <v xml:space="preserve"> </v>
      </c>
      <c r="I15" s="50" t="str">
        <f ca="1">Simulation!K16</f>
        <v xml:space="preserve"> </v>
      </c>
      <c r="J15" s="50" t="str">
        <f ca="1">Simulation!L16</f>
        <v xml:space="preserve"> </v>
      </c>
      <c r="K15" s="61" t="str">
        <f ca="1">Simulation!N16</f>
        <v xml:space="preserve"> </v>
      </c>
      <c r="L15" s="44"/>
      <c r="M15" s="44"/>
      <c r="N15" s="44"/>
    </row>
    <row r="16" spans="1:14" x14ac:dyDescent="0.25">
      <c r="A16" s="57" t="str">
        <f ca="1">Simulation!A17</f>
        <v xml:space="preserve"> </v>
      </c>
      <c r="B16" s="49" t="str">
        <f ca="1">Simulation!D17</f>
        <v xml:space="preserve"> </v>
      </c>
      <c r="C16" s="49" t="str">
        <f ca="1">Simulation!E17</f>
        <v xml:space="preserve"> </v>
      </c>
      <c r="D16" s="49" t="str">
        <f ca="1">Simulation!F17</f>
        <v xml:space="preserve"> </v>
      </c>
      <c r="E16" s="42" t="str">
        <f ca="1">Simulation!G17</f>
        <v xml:space="preserve"> </v>
      </c>
      <c r="F16" s="42" t="str">
        <f ca="1">Simulation!H17</f>
        <v xml:space="preserve"> </v>
      </c>
      <c r="G16" s="49" t="str">
        <f ca="1">Simulation!I17</f>
        <v xml:space="preserve"> </v>
      </c>
      <c r="H16" s="49" t="str">
        <f ca="1">Simulation!J17</f>
        <v xml:space="preserve"> </v>
      </c>
      <c r="I16" s="50" t="str">
        <f ca="1">Simulation!K17</f>
        <v xml:space="preserve"> </v>
      </c>
      <c r="J16" s="50" t="str">
        <f ca="1">Simulation!L17</f>
        <v xml:space="preserve"> </v>
      </c>
      <c r="K16" s="61" t="str">
        <f ca="1">Simulation!N17</f>
        <v xml:space="preserve"> </v>
      </c>
      <c r="L16" s="44"/>
      <c r="M16" s="44"/>
      <c r="N16" s="44"/>
    </row>
    <row r="17" spans="1:14" x14ac:dyDescent="0.25">
      <c r="A17" s="63" t="str">
        <f ca="1">Simulation!A18</f>
        <v xml:space="preserve"> </v>
      </c>
      <c r="B17" s="64" t="str">
        <f ca="1">Simulation!D18</f>
        <v xml:space="preserve"> </v>
      </c>
      <c r="C17" s="64" t="str">
        <f ca="1">Simulation!E18</f>
        <v xml:space="preserve"> </v>
      </c>
      <c r="D17" s="64" t="str">
        <f ca="1">Simulation!F18</f>
        <v xml:space="preserve"> </v>
      </c>
      <c r="E17" s="42" t="str">
        <f ca="1">Simulation!G18</f>
        <v xml:space="preserve"> </v>
      </c>
      <c r="F17" s="42" t="str">
        <f ca="1">Simulation!H18</f>
        <v xml:space="preserve"> </v>
      </c>
      <c r="G17" s="64" t="str">
        <f ca="1">Simulation!I18</f>
        <v xml:space="preserve"> </v>
      </c>
      <c r="H17" s="64" t="str">
        <f ca="1">Simulation!J18</f>
        <v xml:space="preserve"> </v>
      </c>
      <c r="I17" s="65" t="str">
        <f ca="1">Simulation!K18</f>
        <v xml:space="preserve"> </v>
      </c>
      <c r="J17" s="65" t="str">
        <f ca="1">Simulation!L18</f>
        <v xml:space="preserve"> </v>
      </c>
      <c r="K17" s="66" t="str">
        <f ca="1">Simulation!N18</f>
        <v xml:space="preserve"> </v>
      </c>
      <c r="L17" s="44"/>
      <c r="M17" s="44"/>
      <c r="N17" s="44"/>
    </row>
    <row r="18" spans="1:14" x14ac:dyDescent="0.25">
      <c r="A18" s="63" t="str">
        <f ca="1">Simulation!A19</f>
        <v xml:space="preserve"> </v>
      </c>
      <c r="B18" s="64" t="str">
        <f ca="1">Simulation!D19</f>
        <v xml:space="preserve"> </v>
      </c>
      <c r="C18" s="64" t="str">
        <f ca="1">Simulation!E19</f>
        <v xml:space="preserve"> </v>
      </c>
      <c r="D18" s="64" t="str">
        <f ca="1">Simulation!F19</f>
        <v xml:space="preserve"> </v>
      </c>
      <c r="E18" s="42" t="str">
        <f ca="1">Simulation!G19</f>
        <v xml:space="preserve"> </v>
      </c>
      <c r="F18" s="42" t="str">
        <f ca="1">Simulation!H19</f>
        <v xml:space="preserve"> </v>
      </c>
      <c r="G18" s="64" t="str">
        <f ca="1">Simulation!I19</f>
        <v xml:space="preserve"> </v>
      </c>
      <c r="H18" s="64" t="str">
        <f ca="1">Simulation!J19</f>
        <v xml:space="preserve"> </v>
      </c>
      <c r="I18" s="65" t="str">
        <f ca="1">Simulation!K19</f>
        <v xml:space="preserve"> </v>
      </c>
      <c r="J18" s="65" t="str">
        <f ca="1">Simulation!L19</f>
        <v xml:space="preserve"> </v>
      </c>
      <c r="K18" s="66" t="str">
        <f ca="1">Simulation!N19</f>
        <v xml:space="preserve"> </v>
      </c>
      <c r="L18" s="44"/>
      <c r="M18" s="44"/>
      <c r="N18" s="44"/>
    </row>
    <row r="19" spans="1:14" x14ac:dyDescent="0.25">
      <c r="A19" s="63" t="str">
        <f ca="1">Simulation!A20</f>
        <v xml:space="preserve"> </v>
      </c>
      <c r="B19" s="64" t="str">
        <f ca="1">Simulation!D20</f>
        <v xml:space="preserve"> </v>
      </c>
      <c r="C19" s="64" t="str">
        <f ca="1">Simulation!E20</f>
        <v xml:space="preserve"> </v>
      </c>
      <c r="D19" s="64" t="str">
        <f ca="1">Simulation!F20</f>
        <v xml:space="preserve"> </v>
      </c>
      <c r="E19" s="42" t="str">
        <f ca="1">Simulation!G20</f>
        <v xml:space="preserve"> </v>
      </c>
      <c r="F19" s="42" t="str">
        <f ca="1">Simulation!H20</f>
        <v xml:space="preserve"> </v>
      </c>
      <c r="G19" s="64" t="str">
        <f ca="1">Simulation!I20</f>
        <v xml:space="preserve"> </v>
      </c>
      <c r="H19" s="64" t="str">
        <f ca="1">Simulation!J20</f>
        <v xml:space="preserve"> </v>
      </c>
      <c r="I19" s="65" t="str">
        <f ca="1">Simulation!K20</f>
        <v xml:space="preserve"> </v>
      </c>
      <c r="J19" s="65" t="str">
        <f ca="1">Simulation!L20</f>
        <v xml:space="preserve"> </v>
      </c>
      <c r="K19" s="66" t="str">
        <f ca="1">Simulation!N20</f>
        <v xml:space="preserve"> </v>
      </c>
      <c r="L19" s="44"/>
      <c r="M19" s="44"/>
      <c r="N19" s="44"/>
    </row>
    <row r="20" spans="1:14" x14ac:dyDescent="0.25">
      <c r="A20" s="63" t="str">
        <f ca="1">Simulation!A21</f>
        <v xml:space="preserve"> </v>
      </c>
      <c r="B20" s="64" t="str">
        <f ca="1">Simulation!D21</f>
        <v xml:space="preserve"> </v>
      </c>
      <c r="C20" s="64" t="str">
        <f ca="1">Simulation!E21</f>
        <v xml:space="preserve"> </v>
      </c>
      <c r="D20" s="64" t="str">
        <f ca="1">Simulation!F21</f>
        <v xml:space="preserve"> </v>
      </c>
      <c r="E20" s="42" t="str">
        <f ca="1">Simulation!G21</f>
        <v xml:space="preserve"> </v>
      </c>
      <c r="F20" s="42" t="str">
        <f ca="1">Simulation!H21</f>
        <v xml:space="preserve"> </v>
      </c>
      <c r="G20" s="64" t="str">
        <f ca="1">Simulation!I21</f>
        <v xml:space="preserve"> </v>
      </c>
      <c r="H20" s="64" t="str">
        <f ca="1">Simulation!J21</f>
        <v xml:space="preserve"> </v>
      </c>
      <c r="I20" s="65" t="str">
        <f ca="1">Simulation!K21</f>
        <v xml:space="preserve"> </v>
      </c>
      <c r="J20" s="65" t="str">
        <f ca="1">Simulation!L21</f>
        <v xml:space="preserve"> </v>
      </c>
      <c r="K20" s="66" t="str">
        <f ca="1">Simulation!N21</f>
        <v xml:space="preserve"> </v>
      </c>
      <c r="L20" s="44"/>
      <c r="M20" s="44"/>
      <c r="N20" s="44"/>
    </row>
    <row r="21" spans="1:14" x14ac:dyDescent="0.25">
      <c r="A21" s="63" t="str">
        <f ca="1">Simulation!A22</f>
        <v xml:space="preserve"> </v>
      </c>
      <c r="B21" s="64" t="str">
        <f ca="1">Simulation!D22</f>
        <v xml:space="preserve"> </v>
      </c>
      <c r="C21" s="64" t="str">
        <f ca="1">Simulation!E22</f>
        <v xml:space="preserve"> </v>
      </c>
      <c r="D21" s="64" t="str">
        <f ca="1">Simulation!F22</f>
        <v xml:space="preserve"> </v>
      </c>
      <c r="E21" s="42" t="str">
        <f ca="1">Simulation!G22</f>
        <v xml:space="preserve"> </v>
      </c>
      <c r="F21" s="42" t="str">
        <f ca="1">Simulation!H22</f>
        <v xml:space="preserve"> </v>
      </c>
      <c r="G21" s="64" t="str">
        <f ca="1">Simulation!I22</f>
        <v xml:space="preserve"> </v>
      </c>
      <c r="H21" s="64" t="str">
        <f ca="1">Simulation!J22</f>
        <v xml:space="preserve"> </v>
      </c>
      <c r="I21" s="65" t="str">
        <f ca="1">Simulation!K22</f>
        <v xml:space="preserve"> </v>
      </c>
      <c r="J21" s="65" t="str">
        <f ca="1">Simulation!L22</f>
        <v xml:space="preserve"> </v>
      </c>
      <c r="K21" s="66" t="str">
        <f ca="1">Simulation!N22</f>
        <v xml:space="preserve"> </v>
      </c>
      <c r="L21" s="44"/>
      <c r="M21" s="44"/>
      <c r="N21" s="44"/>
    </row>
    <row r="22" spans="1:14" x14ac:dyDescent="0.25">
      <c r="A22" s="63" t="str">
        <f ca="1">Simulation!A23</f>
        <v xml:space="preserve"> </v>
      </c>
      <c r="B22" s="64" t="str">
        <f ca="1">Simulation!D23</f>
        <v xml:space="preserve"> </v>
      </c>
      <c r="C22" s="64" t="str">
        <f ca="1">Simulation!E23</f>
        <v xml:space="preserve"> </v>
      </c>
      <c r="D22" s="64" t="str">
        <f ca="1">Simulation!F23</f>
        <v xml:space="preserve"> </v>
      </c>
      <c r="E22" s="42" t="str">
        <f ca="1">Simulation!G23</f>
        <v xml:space="preserve"> </v>
      </c>
      <c r="F22" s="42" t="str">
        <f ca="1">Simulation!H23</f>
        <v xml:space="preserve"> </v>
      </c>
      <c r="G22" s="64" t="str">
        <f ca="1">Simulation!I23</f>
        <v xml:space="preserve"> </v>
      </c>
      <c r="H22" s="64" t="str">
        <f ca="1">Simulation!J23</f>
        <v xml:space="preserve"> </v>
      </c>
      <c r="I22" s="65" t="str">
        <f ca="1">Simulation!K23</f>
        <v xml:space="preserve"> </v>
      </c>
      <c r="J22" s="65" t="str">
        <f ca="1">Simulation!L23</f>
        <v xml:space="preserve"> </v>
      </c>
      <c r="K22" s="66" t="str">
        <f ca="1">Simulation!N23</f>
        <v xml:space="preserve"> </v>
      </c>
      <c r="L22" s="44"/>
      <c r="M22" s="44"/>
      <c r="N22" s="44"/>
    </row>
    <row r="23" spans="1:14" x14ac:dyDescent="0.25">
      <c r="A23" s="63" t="str">
        <f ca="1">Simulation!A24</f>
        <v xml:space="preserve"> </v>
      </c>
      <c r="B23" s="64" t="str">
        <f ca="1">Simulation!D24</f>
        <v xml:space="preserve"> </v>
      </c>
      <c r="C23" s="64" t="str">
        <f ca="1">Simulation!E24</f>
        <v xml:space="preserve"> </v>
      </c>
      <c r="D23" s="64" t="str">
        <f ca="1">Simulation!F24</f>
        <v xml:space="preserve"> </v>
      </c>
      <c r="E23" s="42" t="str">
        <f ca="1">Simulation!G24</f>
        <v xml:space="preserve"> </v>
      </c>
      <c r="F23" s="42" t="str">
        <f ca="1">Simulation!H24</f>
        <v xml:space="preserve"> </v>
      </c>
      <c r="G23" s="64" t="str">
        <f ca="1">Simulation!I24</f>
        <v xml:space="preserve"> </v>
      </c>
      <c r="H23" s="64" t="str">
        <f ca="1">Simulation!J24</f>
        <v xml:space="preserve"> </v>
      </c>
      <c r="I23" s="65" t="str">
        <f ca="1">Simulation!K24</f>
        <v xml:space="preserve"> </v>
      </c>
      <c r="J23" s="65" t="str">
        <f ca="1">Simulation!L24</f>
        <v xml:space="preserve"> </v>
      </c>
      <c r="K23" s="66" t="str">
        <f ca="1">Simulation!N24</f>
        <v xml:space="preserve"> </v>
      </c>
      <c r="L23" s="44"/>
      <c r="M23" s="44"/>
      <c r="N23" s="44"/>
    </row>
    <row r="24" spans="1:14" x14ac:dyDescent="0.25">
      <c r="A24" s="63" t="str">
        <f ca="1">Simulation!A25</f>
        <v xml:space="preserve"> </v>
      </c>
      <c r="B24" s="64" t="str">
        <f ca="1">Simulation!D25</f>
        <v xml:space="preserve"> </v>
      </c>
      <c r="C24" s="64" t="str">
        <f ca="1">Simulation!E25</f>
        <v xml:space="preserve"> </v>
      </c>
      <c r="D24" s="64" t="str">
        <f ca="1">Simulation!F25</f>
        <v xml:space="preserve"> </v>
      </c>
      <c r="E24" s="42" t="str">
        <f ca="1">Simulation!G25</f>
        <v xml:space="preserve"> </v>
      </c>
      <c r="F24" s="42" t="str">
        <f ca="1">Simulation!H25</f>
        <v xml:space="preserve"> </v>
      </c>
      <c r="G24" s="64" t="str">
        <f ca="1">Simulation!I25</f>
        <v xml:space="preserve"> </v>
      </c>
      <c r="H24" s="64" t="str">
        <f ca="1">Simulation!J25</f>
        <v xml:space="preserve"> </v>
      </c>
      <c r="I24" s="65" t="str">
        <f ca="1">Simulation!K25</f>
        <v xml:space="preserve"> </v>
      </c>
      <c r="J24" s="65" t="str">
        <f ca="1">Simulation!L25</f>
        <v xml:space="preserve"> </v>
      </c>
      <c r="K24" s="66" t="str">
        <f ca="1">Simulation!N25</f>
        <v xml:space="preserve"> </v>
      </c>
      <c r="L24" s="44"/>
      <c r="M24" s="44"/>
      <c r="N24" s="44"/>
    </row>
    <row r="25" spans="1:14" x14ac:dyDescent="0.25">
      <c r="A25" s="63" t="str">
        <f ca="1">Simulation!A26</f>
        <v xml:space="preserve"> </v>
      </c>
      <c r="B25" s="64" t="str">
        <f ca="1">Simulation!D26</f>
        <v xml:space="preserve"> </v>
      </c>
      <c r="C25" s="64" t="str">
        <f ca="1">Simulation!E26</f>
        <v xml:space="preserve"> </v>
      </c>
      <c r="D25" s="64" t="str">
        <f ca="1">Simulation!F26</f>
        <v xml:space="preserve"> </v>
      </c>
      <c r="E25" s="42" t="str">
        <f ca="1">Simulation!G26</f>
        <v xml:space="preserve"> </v>
      </c>
      <c r="F25" s="42" t="str">
        <f ca="1">Simulation!H26</f>
        <v xml:space="preserve"> </v>
      </c>
      <c r="G25" s="64" t="str">
        <f ca="1">Simulation!I26</f>
        <v xml:space="preserve"> </v>
      </c>
      <c r="H25" s="64" t="str">
        <f ca="1">Simulation!J26</f>
        <v xml:space="preserve"> </v>
      </c>
      <c r="I25" s="65" t="str">
        <f ca="1">Simulation!K26</f>
        <v xml:space="preserve"> </v>
      </c>
      <c r="J25" s="65" t="str">
        <f ca="1">Simulation!L26</f>
        <v xml:space="preserve"> </v>
      </c>
      <c r="K25" s="66" t="str">
        <f ca="1">Simulation!N26</f>
        <v xml:space="preserve"> </v>
      </c>
      <c r="L25" s="44"/>
      <c r="M25" s="44"/>
      <c r="N25" s="44"/>
    </row>
    <row r="26" spans="1:14" x14ac:dyDescent="0.25">
      <c r="A26" s="63" t="str">
        <f ca="1">Simulation!A27</f>
        <v xml:space="preserve"> </v>
      </c>
      <c r="B26" s="64" t="str">
        <f ca="1">Simulation!D27</f>
        <v xml:space="preserve"> </v>
      </c>
      <c r="C26" s="64" t="str">
        <f ca="1">Simulation!E27</f>
        <v xml:space="preserve"> </v>
      </c>
      <c r="D26" s="64" t="str">
        <f ca="1">Simulation!F27</f>
        <v xml:space="preserve"> </v>
      </c>
      <c r="E26" s="42" t="str">
        <f ca="1">Simulation!G27</f>
        <v xml:space="preserve"> </v>
      </c>
      <c r="F26" s="42" t="str">
        <f ca="1">Simulation!H27</f>
        <v xml:space="preserve"> </v>
      </c>
      <c r="G26" s="64" t="str">
        <f ca="1">Simulation!I27</f>
        <v xml:space="preserve"> </v>
      </c>
      <c r="H26" s="64" t="str">
        <f ca="1">Simulation!J27</f>
        <v xml:space="preserve"> </v>
      </c>
      <c r="I26" s="65" t="str">
        <f ca="1">Simulation!K27</f>
        <v xml:space="preserve"> </v>
      </c>
      <c r="J26" s="65" t="str">
        <f ca="1">Simulation!L27</f>
        <v xml:space="preserve"> </v>
      </c>
      <c r="K26" s="66" t="str">
        <f ca="1">Simulation!N27</f>
        <v xml:space="preserve"> </v>
      </c>
      <c r="L26" s="44"/>
      <c r="M26" s="44"/>
      <c r="N26" s="44"/>
    </row>
    <row r="27" spans="1:14" x14ac:dyDescent="0.25">
      <c r="A27" s="63" t="str">
        <f ca="1">Simulation!A28</f>
        <v xml:space="preserve"> </v>
      </c>
      <c r="B27" s="64" t="str">
        <f ca="1">Simulation!D28</f>
        <v xml:space="preserve"> </v>
      </c>
      <c r="C27" s="64" t="str">
        <f ca="1">Simulation!E28</f>
        <v xml:space="preserve"> </v>
      </c>
      <c r="D27" s="64" t="str">
        <f ca="1">Simulation!F28</f>
        <v xml:space="preserve"> </v>
      </c>
      <c r="E27" s="42" t="str">
        <f ca="1">Simulation!G28</f>
        <v xml:space="preserve"> </v>
      </c>
      <c r="F27" s="42" t="str">
        <f ca="1">Simulation!H28</f>
        <v xml:space="preserve"> </v>
      </c>
      <c r="G27" s="64" t="str">
        <f ca="1">Simulation!I28</f>
        <v xml:space="preserve"> </v>
      </c>
      <c r="H27" s="64" t="str">
        <f ca="1">Simulation!J28</f>
        <v xml:space="preserve"> </v>
      </c>
      <c r="I27" s="65" t="str">
        <f ca="1">Simulation!K28</f>
        <v xml:space="preserve"> </v>
      </c>
      <c r="J27" s="65" t="str">
        <f ca="1">Simulation!L28</f>
        <v xml:space="preserve"> </v>
      </c>
      <c r="K27" s="66" t="str">
        <f ca="1">Simulation!N28</f>
        <v xml:space="preserve"> </v>
      </c>
      <c r="L27" s="44"/>
      <c r="M27" s="44"/>
      <c r="N27" s="44"/>
    </row>
    <row r="28" spans="1:14" x14ac:dyDescent="0.25">
      <c r="A28" s="63" t="str">
        <f ca="1">Simulation!A29</f>
        <v xml:space="preserve"> </v>
      </c>
      <c r="B28" s="64" t="str">
        <f ca="1">Simulation!D29</f>
        <v xml:space="preserve"> </v>
      </c>
      <c r="C28" s="64" t="str">
        <f ca="1">Simulation!E29</f>
        <v xml:space="preserve"> </v>
      </c>
      <c r="D28" s="64" t="str">
        <f ca="1">Simulation!F29</f>
        <v xml:space="preserve"> </v>
      </c>
      <c r="E28" s="42" t="str">
        <f ca="1">Simulation!G29</f>
        <v xml:space="preserve"> </v>
      </c>
      <c r="F28" s="42" t="str">
        <f ca="1">Simulation!H29</f>
        <v xml:space="preserve"> </v>
      </c>
      <c r="G28" s="64" t="str">
        <f ca="1">Simulation!I29</f>
        <v xml:space="preserve"> </v>
      </c>
      <c r="H28" s="64" t="str">
        <f ca="1">Simulation!J29</f>
        <v xml:space="preserve"> </v>
      </c>
      <c r="I28" s="65" t="str">
        <f ca="1">Simulation!K29</f>
        <v xml:space="preserve"> </v>
      </c>
      <c r="J28" s="65" t="str">
        <f ca="1">Simulation!L29</f>
        <v xml:space="preserve"> </v>
      </c>
      <c r="K28" s="66" t="str">
        <f ca="1">Simulation!N29</f>
        <v xml:space="preserve"> </v>
      </c>
      <c r="L28" s="44"/>
      <c r="M28" s="44"/>
      <c r="N28" s="44"/>
    </row>
    <row r="29" spans="1:14" ht="30" x14ac:dyDescent="0.25">
      <c r="A29" s="63" t="str">
        <f ca="1">Simulation!A30</f>
        <v xml:space="preserve"> </v>
      </c>
      <c r="B29" s="64" t="str">
        <f ca="1">Simulation!D30</f>
        <v xml:space="preserve"> </v>
      </c>
      <c r="C29" s="64" t="str">
        <f ca="1">Simulation!E30</f>
        <v xml:space="preserve"> </v>
      </c>
      <c r="D29" s="64" t="str">
        <f ca="1">Simulation!F30</f>
        <v xml:space="preserve"> </v>
      </c>
      <c r="E29" s="42" t="str">
        <f ca="1">Simulation!G30</f>
        <v xml:space="preserve"> </v>
      </c>
      <c r="F29" s="42" t="str">
        <f ca="1">Simulation!H30</f>
        <v xml:space="preserve"> </v>
      </c>
      <c r="G29" s="64" t="str">
        <f ca="1">Simulation!I30</f>
        <v xml:space="preserve"> </v>
      </c>
      <c r="H29" s="64" t="str">
        <f ca="1">Simulation!J30</f>
        <v xml:space="preserve"> </v>
      </c>
      <c r="I29" s="65" t="str">
        <f ca="1">Simulation!K30</f>
        <v xml:space="preserve"> </v>
      </c>
      <c r="J29" s="65" t="str">
        <f ca="1">Simulation!L30</f>
        <v xml:space="preserve"> </v>
      </c>
      <c r="K29" s="66" t="str">
        <f ca="1">Simulation!N30</f>
        <v xml:space="preserve"> </v>
      </c>
      <c r="L29" s="44"/>
      <c r="M29" s="44"/>
      <c r="N29" s="44"/>
    </row>
    <row r="30" spans="1:14" hidden="1" x14ac:dyDescent="0.25">
      <c r="A30" s="63" t="str">
        <f ca="1">Simulation!A31</f>
        <v xml:space="preserve"> </v>
      </c>
      <c r="B30" s="64" t="str">
        <f ca="1">Simulation!D31</f>
        <v xml:space="preserve"> </v>
      </c>
      <c r="C30" s="64" t="str">
        <f ca="1">Simulation!E31</f>
        <v xml:space="preserve"> </v>
      </c>
      <c r="D30" s="64" t="str">
        <f ca="1">Simulation!F31</f>
        <v xml:space="preserve"> </v>
      </c>
      <c r="E30" s="42" t="str">
        <f ca="1">Simulation!G31</f>
        <v xml:space="preserve"> </v>
      </c>
      <c r="F30" s="42" t="str">
        <f ca="1">Simulation!H31</f>
        <v xml:space="preserve"> </v>
      </c>
      <c r="G30" s="64" t="str">
        <f ca="1">Simulation!I31</f>
        <v xml:space="preserve"> </v>
      </c>
      <c r="H30" s="64" t="str">
        <f ca="1">Simulation!J31</f>
        <v xml:space="preserve"> </v>
      </c>
      <c r="I30" s="65" t="str">
        <f ca="1">Simulation!K31</f>
        <v xml:space="preserve"> </v>
      </c>
      <c r="J30" s="65" t="str">
        <f ca="1">Simulation!L31</f>
        <v xml:space="preserve"> </v>
      </c>
      <c r="K30" s="66" t="str">
        <f ca="1">Simulation!N31</f>
        <v xml:space="preserve"> </v>
      </c>
      <c r="L30" s="44"/>
      <c r="M30" s="44"/>
      <c r="N30" s="44"/>
    </row>
    <row r="31" spans="1:14" hidden="1" x14ac:dyDescent="0.25">
      <c r="A31" s="63" t="str">
        <f ca="1">Simulation!A32</f>
        <v xml:space="preserve"> </v>
      </c>
      <c r="B31" s="64" t="str">
        <f ca="1">Simulation!D32</f>
        <v xml:space="preserve"> </v>
      </c>
      <c r="C31" s="64" t="str">
        <f ca="1">Simulation!E32</f>
        <v xml:space="preserve"> </v>
      </c>
      <c r="D31" s="64" t="str">
        <f ca="1">Simulation!F32</f>
        <v xml:space="preserve"> </v>
      </c>
      <c r="E31" s="42" t="str">
        <f ca="1">Simulation!G32</f>
        <v xml:space="preserve"> </v>
      </c>
      <c r="F31" s="42" t="str">
        <f ca="1">Simulation!H32</f>
        <v xml:space="preserve"> </v>
      </c>
      <c r="G31" s="64" t="str">
        <f ca="1">Simulation!I32</f>
        <v xml:space="preserve"> </v>
      </c>
      <c r="H31" s="64" t="str">
        <f ca="1">Simulation!J32</f>
        <v xml:space="preserve"> </v>
      </c>
      <c r="I31" s="65" t="str">
        <f ca="1">Simulation!K32</f>
        <v xml:space="preserve"> </v>
      </c>
      <c r="J31" s="65" t="str">
        <f ca="1">Simulation!L32</f>
        <v xml:space="preserve"> </v>
      </c>
      <c r="K31" s="66" t="str">
        <f ca="1">Simulation!N32</f>
        <v xml:space="preserve"> </v>
      </c>
      <c r="L31" s="44"/>
      <c r="M31" s="44"/>
      <c r="N31" s="44"/>
    </row>
    <row r="32" spans="1:14" hidden="1" x14ac:dyDescent="0.25">
      <c r="A32" s="63" t="str">
        <f ca="1">Simulation!A33</f>
        <v xml:space="preserve"> </v>
      </c>
      <c r="B32" s="64" t="str">
        <f ca="1">Simulation!D33</f>
        <v xml:space="preserve"> </v>
      </c>
      <c r="C32" s="64" t="str">
        <f ca="1">Simulation!E33</f>
        <v xml:space="preserve"> </v>
      </c>
      <c r="D32" s="64" t="str">
        <f ca="1">Simulation!F33</f>
        <v xml:space="preserve"> </v>
      </c>
      <c r="E32" s="42" t="str">
        <f ca="1">Simulation!G33</f>
        <v xml:space="preserve"> </v>
      </c>
      <c r="F32" s="42" t="str">
        <f ca="1">Simulation!H33</f>
        <v xml:space="preserve"> </v>
      </c>
      <c r="G32" s="64" t="str">
        <f ca="1">Simulation!I33</f>
        <v xml:space="preserve"> </v>
      </c>
      <c r="H32" s="64" t="str">
        <f ca="1">Simulation!J33</f>
        <v xml:space="preserve"> </v>
      </c>
      <c r="I32" s="65" t="str">
        <f ca="1">Simulation!K33</f>
        <v xml:space="preserve"> </v>
      </c>
      <c r="J32" s="65" t="str">
        <f ca="1">Simulation!L33</f>
        <v xml:space="preserve"> </v>
      </c>
      <c r="K32" s="66" t="str">
        <f ca="1">Simulation!N33</f>
        <v xml:space="preserve"> </v>
      </c>
      <c r="L32" s="44"/>
      <c r="M32" s="44"/>
      <c r="N32" s="44"/>
    </row>
    <row r="33" spans="1:14" hidden="1" x14ac:dyDescent="0.25">
      <c r="A33" s="63" t="str">
        <f ca="1">Simulation!A34</f>
        <v xml:space="preserve"> </v>
      </c>
      <c r="B33" s="64" t="str">
        <f ca="1">Simulation!D34</f>
        <v xml:space="preserve"> </v>
      </c>
      <c r="C33" s="64" t="str">
        <f ca="1">Simulation!E34</f>
        <v xml:space="preserve"> </v>
      </c>
      <c r="D33" s="64" t="str">
        <f ca="1">Simulation!F34</f>
        <v xml:space="preserve"> </v>
      </c>
      <c r="E33" s="42" t="str">
        <f ca="1">Simulation!G34</f>
        <v xml:space="preserve"> </v>
      </c>
      <c r="F33" s="42" t="str">
        <f ca="1">Simulation!H34</f>
        <v xml:space="preserve"> </v>
      </c>
      <c r="G33" s="64" t="str">
        <f ca="1">Simulation!I34</f>
        <v xml:space="preserve"> </v>
      </c>
      <c r="H33" s="64" t="str">
        <f ca="1">Simulation!J34</f>
        <v xml:space="preserve"> </v>
      </c>
      <c r="I33" s="65" t="str">
        <f ca="1">Simulation!K34</f>
        <v xml:space="preserve"> </v>
      </c>
      <c r="J33" s="65" t="str">
        <f ca="1">Simulation!L34</f>
        <v xml:space="preserve"> </v>
      </c>
      <c r="K33" s="66" t="str">
        <f ca="1">Simulation!N34</f>
        <v xml:space="preserve"> </v>
      </c>
      <c r="L33" s="44"/>
      <c r="M33" s="44"/>
      <c r="N33" s="44"/>
    </row>
    <row r="34" spans="1:14" hidden="1" x14ac:dyDescent="0.25">
      <c r="A34" s="63" t="str">
        <f ca="1">Simulation!A35</f>
        <v xml:space="preserve"> </v>
      </c>
      <c r="B34" s="64" t="str">
        <f ca="1">Simulation!D35</f>
        <v xml:space="preserve"> </v>
      </c>
      <c r="C34" s="64" t="str">
        <f ca="1">Simulation!E35</f>
        <v xml:space="preserve"> </v>
      </c>
      <c r="D34" s="64" t="str">
        <f ca="1">Simulation!F35</f>
        <v xml:space="preserve"> </v>
      </c>
      <c r="E34" s="42" t="str">
        <f ca="1">Simulation!G35</f>
        <v xml:space="preserve"> </v>
      </c>
      <c r="F34" s="42" t="str">
        <f ca="1">Simulation!H35</f>
        <v xml:space="preserve"> </v>
      </c>
      <c r="G34" s="64" t="str">
        <f ca="1">Simulation!I35</f>
        <v xml:space="preserve"> </v>
      </c>
      <c r="H34" s="64" t="str">
        <f ca="1">Simulation!J35</f>
        <v xml:space="preserve"> </v>
      </c>
      <c r="I34" s="65" t="str">
        <f ca="1">Simulation!K35</f>
        <v xml:space="preserve"> </v>
      </c>
      <c r="J34" s="65" t="str">
        <f ca="1">Simulation!L35</f>
        <v xml:space="preserve"> </v>
      </c>
      <c r="K34" s="66" t="str">
        <f ca="1">Simulation!N35</f>
        <v xml:space="preserve"> </v>
      </c>
      <c r="L34" s="44"/>
      <c r="M34" s="44"/>
      <c r="N34" s="44"/>
    </row>
    <row r="35" spans="1:14" hidden="1" x14ac:dyDescent="0.25">
      <c r="A35" s="63" t="str">
        <f ca="1">Simulation!A36</f>
        <v xml:space="preserve"> </v>
      </c>
      <c r="B35" s="64" t="str">
        <f ca="1">Simulation!D36</f>
        <v xml:space="preserve"> </v>
      </c>
      <c r="C35" s="64" t="str">
        <f ca="1">Simulation!E36</f>
        <v xml:space="preserve"> </v>
      </c>
      <c r="D35" s="64" t="str">
        <f ca="1">Simulation!F36</f>
        <v xml:space="preserve"> </v>
      </c>
      <c r="E35" s="42" t="str">
        <f ca="1">Simulation!G36</f>
        <v xml:space="preserve"> </v>
      </c>
      <c r="F35" s="42" t="str">
        <f ca="1">Simulation!H36</f>
        <v xml:space="preserve"> </v>
      </c>
      <c r="G35" s="64" t="str">
        <f ca="1">Simulation!I36</f>
        <v xml:space="preserve"> </v>
      </c>
      <c r="H35" s="64" t="str">
        <f ca="1">Simulation!J36</f>
        <v xml:space="preserve"> </v>
      </c>
      <c r="I35" s="65" t="str">
        <f ca="1">Simulation!K36</f>
        <v xml:space="preserve"> </v>
      </c>
      <c r="J35" s="65" t="str">
        <f ca="1">Simulation!L36</f>
        <v xml:space="preserve"> </v>
      </c>
      <c r="K35" s="66" t="str">
        <f ca="1">Simulation!N36</f>
        <v xml:space="preserve"> </v>
      </c>
      <c r="L35" s="44"/>
      <c r="M35" s="44"/>
      <c r="N35" s="44"/>
    </row>
    <row r="36" spans="1:14" ht="28.35" hidden="1" customHeight="1" x14ac:dyDescent="0.25">
      <c r="A36" s="63" t="str">
        <f ca="1">Simulation!A37</f>
        <v xml:space="preserve"> </v>
      </c>
      <c r="B36" s="64" t="str">
        <f ca="1">Simulation!D37</f>
        <v xml:space="preserve"> </v>
      </c>
      <c r="C36" s="64" t="str">
        <f ca="1">Simulation!E37</f>
        <v xml:space="preserve"> </v>
      </c>
      <c r="D36" s="64" t="str">
        <f ca="1">Simulation!F37</f>
        <v xml:space="preserve"> </v>
      </c>
      <c r="E36" s="42" t="str">
        <f ca="1">Simulation!G37</f>
        <v xml:space="preserve"> </v>
      </c>
      <c r="F36" s="42" t="str">
        <f ca="1">Simulation!H37</f>
        <v xml:space="preserve"> </v>
      </c>
      <c r="G36" s="64" t="str">
        <f ca="1">Simulation!I37</f>
        <v xml:space="preserve"> </v>
      </c>
      <c r="H36" s="64" t="str">
        <f ca="1">Simulation!J37</f>
        <v xml:space="preserve"> </v>
      </c>
      <c r="I36" s="65" t="str">
        <f ca="1">Simulation!K37</f>
        <v xml:space="preserve"> </v>
      </c>
      <c r="J36" s="65" t="str">
        <f ca="1">Simulation!L37</f>
        <v xml:space="preserve"> </v>
      </c>
      <c r="K36" s="66" t="str">
        <f ca="1">Simulation!N37</f>
        <v xml:space="preserve"> </v>
      </c>
      <c r="L36" s="44"/>
      <c r="M36" s="44"/>
      <c r="N36" s="44"/>
    </row>
    <row r="37" spans="1:14" ht="28.35" hidden="1" customHeight="1" x14ac:dyDescent="0.25">
      <c r="A37" s="63" t="str">
        <f ca="1">Simulation!A38</f>
        <v xml:space="preserve"> </v>
      </c>
      <c r="B37" s="64" t="str">
        <f ca="1">Simulation!D38</f>
        <v xml:space="preserve"> </v>
      </c>
      <c r="C37" s="64" t="str">
        <f ca="1">Simulation!E38</f>
        <v xml:space="preserve"> </v>
      </c>
      <c r="D37" s="64" t="str">
        <f ca="1">Simulation!F38</f>
        <v xml:space="preserve"> </v>
      </c>
      <c r="E37" s="42" t="str">
        <f ca="1">Simulation!G38</f>
        <v xml:space="preserve"> </v>
      </c>
      <c r="F37" s="42" t="str">
        <f ca="1">Simulation!H38</f>
        <v xml:space="preserve"> </v>
      </c>
      <c r="G37" s="64" t="str">
        <f ca="1">Simulation!I38</f>
        <v xml:space="preserve"> </v>
      </c>
      <c r="H37" s="64" t="str">
        <f ca="1">Simulation!J38</f>
        <v xml:space="preserve"> </v>
      </c>
      <c r="I37" s="65" t="str">
        <f ca="1">Simulation!K38</f>
        <v xml:space="preserve"> </v>
      </c>
      <c r="J37" s="65" t="str">
        <f ca="1">Simulation!L38</f>
        <v xml:space="preserve"> </v>
      </c>
      <c r="K37" s="66" t="str">
        <f ca="1">Simulation!N38</f>
        <v xml:space="preserve"> </v>
      </c>
      <c r="L37" s="44"/>
      <c r="M37" s="44"/>
      <c r="N37" s="44"/>
    </row>
    <row r="38" spans="1:14" ht="28.35" hidden="1" customHeight="1" x14ac:dyDescent="0.25">
      <c r="A38" s="63" t="str">
        <f ca="1">Simulation!A39</f>
        <v xml:space="preserve"> </v>
      </c>
      <c r="B38" s="64" t="str">
        <f ca="1">Simulation!D39</f>
        <v xml:space="preserve"> </v>
      </c>
      <c r="C38" s="64" t="str">
        <f ca="1">Simulation!E39</f>
        <v xml:space="preserve"> </v>
      </c>
      <c r="D38" s="64" t="str">
        <f ca="1">Simulation!F39</f>
        <v xml:space="preserve"> </v>
      </c>
      <c r="E38" s="42" t="str">
        <f ca="1">Simulation!G39</f>
        <v xml:space="preserve"> </v>
      </c>
      <c r="F38" s="42" t="str">
        <f ca="1">Simulation!H39</f>
        <v xml:space="preserve"> </v>
      </c>
      <c r="G38" s="64" t="str">
        <f ca="1">Simulation!I39</f>
        <v xml:space="preserve"> </v>
      </c>
      <c r="H38" s="64" t="str">
        <f ca="1">Simulation!J39</f>
        <v xml:space="preserve"> </v>
      </c>
      <c r="I38" s="65" t="str">
        <f ca="1">Simulation!K39</f>
        <v xml:space="preserve"> </v>
      </c>
      <c r="J38" s="65" t="str">
        <f ca="1">Simulation!L39</f>
        <v xml:space="preserve"> </v>
      </c>
      <c r="K38" s="66" t="str">
        <f ca="1">Simulation!N39</f>
        <v xml:space="preserve"> </v>
      </c>
      <c r="L38" s="44"/>
      <c r="M38" s="44"/>
      <c r="N38" s="44"/>
    </row>
    <row r="39" spans="1:14" hidden="1" x14ac:dyDescent="0.25">
      <c r="A39" s="63" t="str">
        <f ca="1">Simulation!A40</f>
        <v xml:space="preserve"> </v>
      </c>
      <c r="B39" s="64" t="str">
        <f ca="1">Simulation!D40</f>
        <v xml:space="preserve"> </v>
      </c>
      <c r="C39" s="64" t="str">
        <f ca="1">Simulation!E40</f>
        <v xml:space="preserve"> </v>
      </c>
      <c r="D39" s="64" t="str">
        <f ca="1">Simulation!F40</f>
        <v xml:space="preserve"> </v>
      </c>
      <c r="E39" s="45" t="str">
        <f ca="1">Simulation!G40</f>
        <v xml:space="preserve"> </v>
      </c>
      <c r="F39" s="45" t="str">
        <f ca="1">Simulation!H40</f>
        <v xml:space="preserve"> </v>
      </c>
      <c r="G39" s="64" t="str">
        <f ca="1">Simulation!I40</f>
        <v xml:space="preserve"> </v>
      </c>
      <c r="H39" s="64" t="str">
        <f ca="1">Simulation!J40</f>
        <v xml:space="preserve"> </v>
      </c>
      <c r="I39" s="65" t="str">
        <f ca="1">Simulation!K40</f>
        <v xml:space="preserve"> </v>
      </c>
      <c r="J39" s="65" t="str">
        <f ca="1">Simulation!L40</f>
        <v xml:space="preserve"> </v>
      </c>
      <c r="K39" s="66" t="str">
        <f ca="1">Simulation!N40</f>
        <v xml:space="preserve"> </v>
      </c>
    </row>
    <row r="40" spans="1:14" hidden="1" x14ac:dyDescent="0.25">
      <c r="A40" s="63" t="str">
        <f ca="1">Simulation!A41</f>
        <v xml:space="preserve"> </v>
      </c>
      <c r="B40" s="64" t="str">
        <f ca="1">Simulation!D41</f>
        <v xml:space="preserve"> </v>
      </c>
      <c r="C40" s="64" t="str">
        <f ca="1">Simulation!E41</f>
        <v xml:space="preserve"> </v>
      </c>
      <c r="D40" s="64" t="str">
        <f ca="1">Simulation!F41</f>
        <v xml:space="preserve"> </v>
      </c>
      <c r="E40" s="45" t="str">
        <f ca="1">Simulation!G41</f>
        <v xml:space="preserve"> </v>
      </c>
      <c r="F40" s="45" t="str">
        <f ca="1">Simulation!H41</f>
        <v xml:space="preserve"> </v>
      </c>
      <c r="G40" s="64" t="str">
        <f ca="1">Simulation!I41</f>
        <v xml:space="preserve"> </v>
      </c>
      <c r="H40" s="64" t="str">
        <f ca="1">Simulation!J41</f>
        <v xml:space="preserve"> </v>
      </c>
      <c r="I40" s="65" t="str">
        <f ca="1">Simulation!K41</f>
        <v xml:space="preserve"> </v>
      </c>
      <c r="J40" s="65" t="str">
        <f ca="1">Simulation!L41</f>
        <v xml:space="preserve"> </v>
      </c>
      <c r="K40" s="66" t="str">
        <f ca="1">Simulation!N41</f>
        <v xml:space="preserve"> </v>
      </c>
    </row>
    <row r="41" spans="1:14" hidden="1" x14ac:dyDescent="0.25">
      <c r="A41" s="63" t="str">
        <f ca="1">Simulation!A42</f>
        <v xml:space="preserve"> </v>
      </c>
      <c r="B41" s="64" t="str">
        <f ca="1">Simulation!D42</f>
        <v xml:space="preserve"> </v>
      </c>
      <c r="C41" s="64" t="str">
        <f ca="1">Simulation!E42</f>
        <v xml:space="preserve"> </v>
      </c>
      <c r="D41" s="64" t="str">
        <f ca="1">Simulation!F42</f>
        <v xml:space="preserve"> </v>
      </c>
      <c r="E41" s="45" t="str">
        <f ca="1">Simulation!G42</f>
        <v xml:space="preserve"> </v>
      </c>
      <c r="F41" s="45" t="str">
        <f ca="1">Simulation!H42</f>
        <v xml:space="preserve"> </v>
      </c>
      <c r="G41" s="64" t="str">
        <f ca="1">Simulation!I42</f>
        <v xml:space="preserve"> </v>
      </c>
      <c r="H41" s="64" t="str">
        <f ca="1">Simulation!J42</f>
        <v xml:space="preserve"> </v>
      </c>
      <c r="I41" s="65" t="str">
        <f ca="1">Simulation!K42</f>
        <v xml:space="preserve"> </v>
      </c>
      <c r="J41" s="65" t="str">
        <f ca="1">Simulation!L42</f>
        <v xml:space="preserve"> </v>
      </c>
      <c r="K41" s="66" t="str">
        <f ca="1">Simulation!N42</f>
        <v xml:space="preserve"> </v>
      </c>
    </row>
    <row r="42" spans="1:14" hidden="1" x14ac:dyDescent="0.25">
      <c r="A42" s="63" t="str">
        <f ca="1">Simulation!A43</f>
        <v xml:space="preserve"> </v>
      </c>
      <c r="B42" s="64" t="str">
        <f ca="1">Simulation!D43</f>
        <v xml:space="preserve"> </v>
      </c>
      <c r="C42" s="64" t="str">
        <f ca="1">Simulation!E43</f>
        <v xml:space="preserve"> </v>
      </c>
      <c r="D42" s="64" t="str">
        <f ca="1">Simulation!F43</f>
        <v xml:space="preserve"> </v>
      </c>
      <c r="E42" s="45" t="str">
        <f ca="1">Simulation!G43</f>
        <v xml:space="preserve"> </v>
      </c>
      <c r="F42" s="45" t="str">
        <f ca="1">Simulation!H43</f>
        <v xml:space="preserve"> </v>
      </c>
      <c r="G42" s="64" t="str">
        <f ca="1">Simulation!I43</f>
        <v xml:space="preserve"> </v>
      </c>
      <c r="H42" s="64" t="str">
        <f ca="1">Simulation!J43</f>
        <v xml:space="preserve"> </v>
      </c>
      <c r="I42" s="65" t="str">
        <f ca="1">Simulation!K43</f>
        <v xml:space="preserve"> </v>
      </c>
      <c r="J42" s="65" t="str">
        <f ca="1">Simulation!L43</f>
        <v xml:space="preserve"> </v>
      </c>
      <c r="K42" s="66" t="str">
        <f ca="1">Simulation!N43</f>
        <v xml:space="preserve"> </v>
      </c>
    </row>
    <row r="43" spans="1:14" hidden="1" x14ac:dyDescent="0.25">
      <c r="A43" s="63" t="str">
        <f ca="1">Simulation!A44</f>
        <v xml:space="preserve"> </v>
      </c>
      <c r="B43" s="64" t="str">
        <f ca="1">Simulation!D44</f>
        <v xml:space="preserve"> </v>
      </c>
      <c r="C43" s="64" t="str">
        <f ca="1">Simulation!E44</f>
        <v xml:space="preserve"> </v>
      </c>
      <c r="D43" s="64" t="str">
        <f ca="1">Simulation!F44</f>
        <v xml:space="preserve"> </v>
      </c>
      <c r="E43" s="45" t="str">
        <f ca="1">Simulation!G44</f>
        <v xml:space="preserve"> </v>
      </c>
      <c r="F43" s="45" t="str">
        <f ca="1">Simulation!H44</f>
        <v xml:space="preserve"> </v>
      </c>
      <c r="G43" s="64" t="str">
        <f ca="1">Simulation!I44</f>
        <v xml:space="preserve"> </v>
      </c>
      <c r="H43" s="64" t="str">
        <f ca="1">Simulation!J44</f>
        <v xml:space="preserve"> </v>
      </c>
      <c r="I43" s="65" t="str">
        <f ca="1">Simulation!K44</f>
        <v xml:space="preserve"> </v>
      </c>
      <c r="J43" s="65" t="str">
        <f ca="1">Simulation!L44</f>
        <v xml:space="preserve"> </v>
      </c>
      <c r="K43" s="66" t="str">
        <f ca="1">Simulation!N44</f>
        <v xml:space="preserve"> </v>
      </c>
    </row>
    <row r="44" spans="1:14" hidden="1" x14ac:dyDescent="0.25">
      <c r="A44" s="63" t="str">
        <f ca="1">Simulation!A45</f>
        <v xml:space="preserve"> </v>
      </c>
      <c r="B44" s="64" t="str">
        <f ca="1">Simulation!D45</f>
        <v xml:space="preserve"> </v>
      </c>
      <c r="C44" s="64" t="str">
        <f ca="1">Simulation!E45</f>
        <v xml:space="preserve"> </v>
      </c>
      <c r="D44" s="64" t="str">
        <f ca="1">Simulation!F45</f>
        <v xml:space="preserve"> </v>
      </c>
      <c r="E44" s="45" t="str">
        <f ca="1">Simulation!G45</f>
        <v xml:space="preserve"> </v>
      </c>
      <c r="F44" s="45" t="str">
        <f ca="1">Simulation!H45</f>
        <v xml:space="preserve"> </v>
      </c>
      <c r="G44" s="64" t="str">
        <f ca="1">Simulation!I45</f>
        <v xml:space="preserve"> </v>
      </c>
      <c r="H44" s="64" t="str">
        <f ca="1">Simulation!J45</f>
        <v xml:space="preserve"> </v>
      </c>
      <c r="I44" s="65" t="str">
        <f ca="1">Simulation!K45</f>
        <v xml:space="preserve"> </v>
      </c>
      <c r="J44" s="65" t="str">
        <f ca="1">Simulation!L45</f>
        <v xml:space="preserve"> </v>
      </c>
      <c r="K44" s="66" t="str">
        <f ca="1">Simulation!N45</f>
        <v xml:space="preserve"> </v>
      </c>
    </row>
    <row r="45" spans="1:14" hidden="1" x14ac:dyDescent="0.25">
      <c r="A45" s="63" t="str">
        <f ca="1">Simulation!A46</f>
        <v xml:space="preserve"> </v>
      </c>
      <c r="B45" s="64" t="str">
        <f ca="1">Simulation!D46</f>
        <v xml:space="preserve"> </v>
      </c>
      <c r="C45" s="64" t="str">
        <f ca="1">Simulation!E46</f>
        <v xml:space="preserve"> </v>
      </c>
      <c r="D45" s="64" t="str">
        <f ca="1">Simulation!F46</f>
        <v xml:space="preserve"> </v>
      </c>
      <c r="E45" s="45" t="str">
        <f ca="1">Simulation!G46</f>
        <v xml:space="preserve"> </v>
      </c>
      <c r="F45" s="45" t="str">
        <f ca="1">Simulation!H46</f>
        <v xml:space="preserve"> </v>
      </c>
      <c r="G45" s="64" t="str">
        <f ca="1">Simulation!I46</f>
        <v xml:space="preserve"> </v>
      </c>
      <c r="H45" s="64" t="str">
        <f ca="1">Simulation!J46</f>
        <v xml:space="preserve"> </v>
      </c>
      <c r="I45" s="65" t="str">
        <f ca="1">Simulation!K46</f>
        <v xml:space="preserve"> </v>
      </c>
      <c r="J45" s="65" t="str">
        <f ca="1">Simulation!L46</f>
        <v xml:space="preserve"> </v>
      </c>
      <c r="K45" s="66" t="str">
        <f ca="1">Simulation!N46</f>
        <v xml:space="preserve"> </v>
      </c>
    </row>
    <row r="46" spans="1:14" x14ac:dyDescent="0.25">
      <c r="A46" s="63"/>
      <c r="B46" s="63"/>
      <c r="C46" s="63"/>
      <c r="D46" s="63"/>
      <c r="E46" s="67"/>
      <c r="F46" s="67"/>
      <c r="G46" s="63"/>
      <c r="H46" s="63"/>
      <c r="I46" s="68"/>
      <c r="J46" s="68"/>
      <c r="K46" s="69"/>
    </row>
    <row r="47" spans="1:14" x14ac:dyDescent="0.25">
      <c r="A47" s="63"/>
      <c r="B47" s="63"/>
      <c r="C47" s="63"/>
      <c r="D47" s="63"/>
      <c r="E47" s="67"/>
      <c r="F47" s="67"/>
      <c r="G47" s="63"/>
      <c r="H47" s="63"/>
      <c r="I47" s="68"/>
      <c r="J47" s="68"/>
      <c r="K47" s="69"/>
    </row>
    <row r="48" spans="1:14" x14ac:dyDescent="0.25">
      <c r="A48" s="63"/>
      <c r="B48" s="63"/>
      <c r="C48" s="63"/>
      <c r="D48" s="63"/>
      <c r="E48" s="67"/>
      <c r="F48" s="67"/>
      <c r="G48" s="63"/>
      <c r="H48" s="63"/>
      <c r="I48" s="68"/>
      <c r="J48" s="68"/>
      <c r="K48" s="69"/>
    </row>
    <row r="49" spans="1:11" x14ac:dyDescent="0.25">
      <c r="A49" s="63"/>
      <c r="B49" s="63"/>
      <c r="C49" s="63"/>
      <c r="D49" s="63"/>
      <c r="E49" s="67"/>
      <c r="F49" s="67"/>
      <c r="G49" s="63"/>
      <c r="H49" s="63"/>
      <c r="I49" s="68"/>
      <c r="J49" s="68"/>
      <c r="K49" s="69"/>
    </row>
    <row r="50" spans="1:11" x14ac:dyDescent="0.25">
      <c r="A50" s="63"/>
      <c r="B50" s="63"/>
      <c r="C50" s="63"/>
      <c r="D50" s="63"/>
      <c r="E50" s="67"/>
      <c r="F50" s="67"/>
      <c r="G50" s="63"/>
      <c r="H50" s="63"/>
      <c r="I50" s="68"/>
      <c r="J50" s="68"/>
      <c r="K50" s="69"/>
    </row>
    <row r="51" spans="1:11" x14ac:dyDescent="0.25">
      <c r="A51" s="63"/>
      <c r="B51" s="63"/>
      <c r="C51" s="63"/>
      <c r="D51" s="63"/>
      <c r="E51" s="67"/>
      <c r="F51" s="67"/>
      <c r="G51" s="63"/>
      <c r="H51" s="63"/>
      <c r="I51" s="68"/>
      <c r="J51" s="68"/>
      <c r="K51" s="69"/>
    </row>
    <row r="52" spans="1:11" x14ac:dyDescent="0.25">
      <c r="A52" s="63"/>
      <c r="B52" s="63"/>
      <c r="C52" s="63"/>
      <c r="D52" s="63"/>
      <c r="E52" s="67"/>
      <c r="F52" s="67"/>
      <c r="G52" s="63"/>
      <c r="H52" s="63"/>
      <c r="I52" s="68"/>
      <c r="J52" s="68"/>
      <c r="K52" s="69"/>
    </row>
    <row r="53" spans="1:11" x14ac:dyDescent="0.25">
      <c r="A53" s="63"/>
      <c r="B53" s="63"/>
      <c r="C53" s="63"/>
      <c r="D53" s="63"/>
      <c r="E53" s="67"/>
      <c r="F53" s="67"/>
      <c r="G53" s="63"/>
      <c r="H53" s="63"/>
      <c r="I53" s="68"/>
      <c r="J53" s="68"/>
      <c r="K53" s="69"/>
    </row>
    <row r="54" spans="1:11" x14ac:dyDescent="0.25">
      <c r="A54" s="63"/>
      <c r="B54" s="63"/>
      <c r="C54" s="63"/>
      <c r="D54" s="63"/>
      <c r="E54" s="67"/>
      <c r="F54" s="67"/>
      <c r="G54" s="63"/>
      <c r="H54" s="63"/>
      <c r="I54" s="68"/>
      <c r="J54" s="68"/>
      <c r="K54" s="69"/>
    </row>
    <row r="55" spans="1:11" x14ac:dyDescent="0.25">
      <c r="A55" s="63"/>
      <c r="B55" s="63"/>
      <c r="C55" s="63"/>
      <c r="D55" s="63"/>
      <c r="E55" s="67"/>
      <c r="F55" s="67"/>
      <c r="G55" s="63"/>
      <c r="H55" s="63"/>
      <c r="I55" s="68"/>
      <c r="J55" s="68"/>
      <c r="K55" s="69"/>
    </row>
    <row r="56" spans="1:11" x14ac:dyDescent="0.25">
      <c r="A56" s="63"/>
      <c r="B56" s="63"/>
      <c r="C56" s="63"/>
      <c r="D56" s="63"/>
      <c r="E56" s="67"/>
      <c r="F56" s="67"/>
      <c r="G56" s="63"/>
      <c r="H56" s="63"/>
      <c r="I56" s="68"/>
      <c r="J56" s="68"/>
      <c r="K56" s="69"/>
    </row>
    <row r="57" spans="1:11" x14ac:dyDescent="0.25">
      <c r="A57" s="63"/>
      <c r="B57" s="63"/>
      <c r="C57" s="63"/>
      <c r="D57" s="63"/>
      <c r="E57" s="67"/>
      <c r="F57" s="67"/>
      <c r="G57" s="63"/>
      <c r="H57" s="63"/>
      <c r="I57" s="68"/>
      <c r="J57" s="68"/>
      <c r="K57" s="69"/>
    </row>
    <row r="58" spans="1:11" x14ac:dyDescent="0.25">
      <c r="E58" s="45"/>
      <c r="F58" s="45"/>
      <c r="I58" s="45"/>
      <c r="J58" s="45"/>
    </row>
    <row r="59" spans="1:11" x14ac:dyDescent="0.25">
      <c r="E59" s="45"/>
      <c r="F59" s="45"/>
      <c r="I59" s="45"/>
      <c r="J59" s="45"/>
    </row>
    <row r="60" spans="1:11" x14ac:dyDescent="0.25">
      <c r="E60" s="45"/>
      <c r="F60" s="45"/>
      <c r="I60" s="45"/>
      <c r="J60" s="45"/>
    </row>
    <row r="61" spans="1:11" x14ac:dyDescent="0.25">
      <c r="E61" s="45"/>
      <c r="F61" s="45"/>
      <c r="I61" s="45"/>
      <c r="J61" s="45"/>
    </row>
    <row r="62" spans="1:11" x14ac:dyDescent="0.25">
      <c r="E62" s="45"/>
      <c r="F62" s="45"/>
      <c r="I62" s="45"/>
      <c r="J62" s="45"/>
    </row>
    <row r="63" spans="1:11" x14ac:dyDescent="0.25">
      <c r="E63" s="45"/>
      <c r="F63" s="45"/>
      <c r="I63" s="45"/>
      <c r="J63" s="45"/>
    </row>
    <row r="64" spans="1:11" x14ac:dyDescent="0.25">
      <c r="E64" s="45"/>
      <c r="F64" s="45"/>
      <c r="I64" s="45"/>
      <c r="J64" s="45"/>
    </row>
    <row r="65" spans="5:10" x14ac:dyDescent="0.25">
      <c r="E65" s="45"/>
      <c r="F65" s="45"/>
      <c r="I65" s="45"/>
      <c r="J65" s="45"/>
    </row>
    <row r="66" spans="5:10" x14ac:dyDescent="0.25">
      <c r="E66" s="45"/>
      <c r="F66" s="45"/>
      <c r="I66" s="45"/>
      <c r="J66" s="45"/>
    </row>
    <row r="67" spans="5:10" x14ac:dyDescent="0.25">
      <c r="E67" s="45"/>
      <c r="F67" s="45"/>
      <c r="I67" s="45"/>
      <c r="J67" s="45"/>
    </row>
    <row r="68" spans="5:10" x14ac:dyDescent="0.25">
      <c r="E68" s="45"/>
      <c r="F68" s="45"/>
      <c r="I68" s="45"/>
      <c r="J68" s="45"/>
    </row>
    <row r="69" spans="5:10" x14ac:dyDescent="0.25">
      <c r="E69" s="45"/>
      <c r="F69" s="45"/>
      <c r="I69" s="45"/>
      <c r="J69" s="45"/>
    </row>
    <row r="70" spans="5:10" x14ac:dyDescent="0.25">
      <c r="E70" s="45"/>
      <c r="F70" s="45"/>
      <c r="I70" s="45"/>
      <c r="J70" s="45"/>
    </row>
    <row r="71" spans="5:10" x14ac:dyDescent="0.25">
      <c r="E71" s="45"/>
      <c r="F71" s="45"/>
      <c r="I71" s="45"/>
      <c r="J71" s="45"/>
    </row>
    <row r="72" spans="5:10" x14ac:dyDescent="0.25">
      <c r="E72" s="45"/>
      <c r="F72" s="45"/>
      <c r="I72" s="45"/>
      <c r="J72" s="45"/>
    </row>
    <row r="73" spans="5:10" x14ac:dyDescent="0.25">
      <c r="E73" s="45"/>
      <c r="F73" s="45"/>
      <c r="I73" s="45"/>
      <c r="J73" s="45"/>
    </row>
    <row r="74" spans="5:10" x14ac:dyDescent="0.25">
      <c r="E74" s="45"/>
      <c r="F74" s="45"/>
      <c r="I74" s="45"/>
      <c r="J74" s="45"/>
    </row>
    <row r="75" spans="5:10" x14ac:dyDescent="0.25">
      <c r="E75" s="45"/>
      <c r="F75" s="45"/>
      <c r="I75" s="45"/>
      <c r="J75" s="45"/>
    </row>
    <row r="76" spans="5:10" x14ac:dyDescent="0.25">
      <c r="E76" s="45"/>
      <c r="F76" s="45"/>
      <c r="I76" s="45"/>
      <c r="J76" s="45"/>
    </row>
    <row r="77" spans="5:10" x14ac:dyDescent="0.25">
      <c r="E77" s="45"/>
      <c r="F77" s="45"/>
      <c r="I77" s="45"/>
      <c r="J77" s="45"/>
    </row>
    <row r="78" spans="5:10" x14ac:dyDescent="0.25">
      <c r="E78" s="45"/>
      <c r="F78" s="45"/>
      <c r="I78" s="45"/>
      <c r="J78" s="45"/>
    </row>
    <row r="79" spans="5:10" x14ac:dyDescent="0.25">
      <c r="E79" s="45"/>
      <c r="F79" s="45"/>
      <c r="I79" s="45"/>
      <c r="J79" s="45"/>
    </row>
    <row r="80" spans="5:10" x14ac:dyDescent="0.25">
      <c r="E80" s="45"/>
      <c r="F80" s="45"/>
      <c r="I80" s="45"/>
      <c r="J80" s="45"/>
    </row>
    <row r="81" spans="5:10" x14ac:dyDescent="0.25">
      <c r="E81" s="45"/>
      <c r="F81" s="45"/>
      <c r="I81" s="45"/>
      <c r="J81" s="45"/>
    </row>
    <row r="82" spans="5:10" x14ac:dyDescent="0.25">
      <c r="E82" s="45"/>
      <c r="F82" s="45"/>
      <c r="I82" s="45"/>
      <c r="J82" s="45"/>
    </row>
    <row r="83" spans="5:10" x14ac:dyDescent="0.25">
      <c r="E83" s="45"/>
      <c r="F83" s="45"/>
      <c r="I83" s="45"/>
      <c r="J83" s="45"/>
    </row>
    <row r="84" spans="5:10" x14ac:dyDescent="0.25">
      <c r="E84" s="45"/>
      <c r="F84" s="45"/>
      <c r="I84" s="45"/>
      <c r="J84" s="45"/>
    </row>
    <row r="85" spans="5:10" x14ac:dyDescent="0.25">
      <c r="E85" s="45"/>
      <c r="F85" s="45"/>
      <c r="I85" s="45"/>
      <c r="J85" s="45"/>
    </row>
    <row r="86" spans="5:10" x14ac:dyDescent="0.25">
      <c r="E86" s="45"/>
      <c r="F86" s="45"/>
      <c r="I86" s="45"/>
      <c r="J86" s="45"/>
    </row>
    <row r="87" spans="5:10" x14ac:dyDescent="0.25">
      <c r="E87" s="45"/>
      <c r="F87" s="45"/>
      <c r="I87" s="45"/>
      <c r="J87" s="45"/>
    </row>
    <row r="88" spans="5:10" x14ac:dyDescent="0.25">
      <c r="E88" s="45"/>
      <c r="F88" s="45"/>
      <c r="I88" s="45"/>
      <c r="J88" s="45"/>
    </row>
    <row r="89" spans="5:10" x14ac:dyDescent="0.25">
      <c r="E89" s="45"/>
      <c r="F89" s="45"/>
      <c r="I89" s="45"/>
      <c r="J89" s="45"/>
    </row>
    <row r="90" spans="5:10" x14ac:dyDescent="0.25">
      <c r="E90" s="45"/>
      <c r="F90" s="45"/>
      <c r="I90" s="45"/>
      <c r="J90" s="45"/>
    </row>
    <row r="91" spans="5:10" x14ac:dyDescent="0.25">
      <c r="E91" s="45"/>
      <c r="F91" s="45"/>
      <c r="I91" s="45"/>
      <c r="J91" s="45"/>
    </row>
    <row r="92" spans="5:10" x14ac:dyDescent="0.25">
      <c r="E92" s="45"/>
      <c r="F92" s="45"/>
      <c r="I92" s="45"/>
      <c r="J92" s="45"/>
    </row>
    <row r="93" spans="5:10" x14ac:dyDescent="0.25">
      <c r="E93" s="45"/>
      <c r="F93" s="45"/>
      <c r="I93" s="45"/>
      <c r="J93" s="45"/>
    </row>
    <row r="94" spans="5:10" x14ac:dyDescent="0.25">
      <c r="E94" s="45"/>
      <c r="F94" s="45"/>
    </row>
    <row r="95" spans="5:10" x14ac:dyDescent="0.25">
      <c r="E95" s="45"/>
      <c r="F95" s="45"/>
    </row>
    <row r="96" spans="5:10" x14ac:dyDescent="0.25">
      <c r="E96" s="45"/>
      <c r="F96" s="45"/>
    </row>
    <row r="97" spans="5:6" x14ac:dyDescent="0.25">
      <c r="E97" s="45"/>
      <c r="F97" s="45"/>
    </row>
    <row r="98" spans="5:6" x14ac:dyDescent="0.25">
      <c r="E98" s="45"/>
      <c r="F98" s="45"/>
    </row>
    <row r="99" spans="5:6" x14ac:dyDescent="0.25">
      <c r="E99" s="45"/>
      <c r="F99" s="45"/>
    </row>
    <row r="100" spans="5:6" x14ac:dyDescent="0.25">
      <c r="E100" s="45"/>
      <c r="F100" s="45"/>
    </row>
    <row r="101" spans="5:6" x14ac:dyDescent="0.25">
      <c r="E101" s="45"/>
      <c r="F101" s="45"/>
    </row>
    <row r="102" spans="5:6" x14ac:dyDescent="0.25">
      <c r="E102" s="45"/>
      <c r="F102" s="45"/>
    </row>
    <row r="103" spans="5:6" x14ac:dyDescent="0.25">
      <c r="E103" s="45"/>
      <c r="F103" s="45"/>
    </row>
    <row r="104" spans="5:6" x14ac:dyDescent="0.25">
      <c r="E104" s="45"/>
      <c r="F104" s="45"/>
    </row>
    <row r="105" spans="5:6" x14ac:dyDescent="0.25">
      <c r="E105" s="45"/>
      <c r="F105" s="45"/>
    </row>
    <row r="106" spans="5:6" x14ac:dyDescent="0.25">
      <c r="E106" s="45"/>
      <c r="F106" s="45"/>
    </row>
    <row r="107" spans="5:6" x14ac:dyDescent="0.25">
      <c r="E107" s="45"/>
      <c r="F107" s="45"/>
    </row>
    <row r="108" spans="5:6" x14ac:dyDescent="0.25">
      <c r="E108" s="45"/>
      <c r="F108" s="45"/>
    </row>
    <row r="109" spans="5:6" x14ac:dyDescent="0.25">
      <c r="E109" s="45"/>
      <c r="F109" s="45"/>
    </row>
    <row r="110" spans="5:6" x14ac:dyDescent="0.25">
      <c r="E110" s="45"/>
      <c r="F110" s="45"/>
    </row>
    <row r="111" spans="5:6" x14ac:dyDescent="0.25">
      <c r="E111" s="45"/>
      <c r="F111" s="45"/>
    </row>
    <row r="112" spans="5:6" x14ac:dyDescent="0.25">
      <c r="E112" s="45"/>
      <c r="F112" s="45"/>
    </row>
    <row r="113" spans="5:6" x14ac:dyDescent="0.25">
      <c r="E113" s="45"/>
      <c r="F113" s="45"/>
    </row>
    <row r="114" spans="5:6" x14ac:dyDescent="0.25">
      <c r="E114" s="45"/>
      <c r="F114" s="45"/>
    </row>
    <row r="115" spans="5:6" x14ac:dyDescent="0.25">
      <c r="E115" s="45"/>
      <c r="F115" s="45"/>
    </row>
    <row r="116" spans="5:6" x14ac:dyDescent="0.25">
      <c r="E116" s="45"/>
      <c r="F116" s="45"/>
    </row>
    <row r="117" spans="5:6" x14ac:dyDescent="0.25">
      <c r="E117" s="45"/>
      <c r="F117" s="45"/>
    </row>
    <row r="118" spans="5:6" x14ac:dyDescent="0.25">
      <c r="E118" s="45"/>
      <c r="F118" s="45"/>
    </row>
    <row r="119" spans="5:6" x14ac:dyDescent="0.25">
      <c r="E119" s="45"/>
      <c r="F119" s="45"/>
    </row>
    <row r="120" spans="5:6" x14ac:dyDescent="0.25">
      <c r="E120" s="45"/>
      <c r="F120" s="45"/>
    </row>
    <row r="121" spans="5:6" x14ac:dyDescent="0.25">
      <c r="E121" s="45"/>
      <c r="F121" s="45"/>
    </row>
    <row r="122" spans="5:6" x14ac:dyDescent="0.25">
      <c r="E122" s="45"/>
      <c r="F122" s="45"/>
    </row>
    <row r="123" spans="5:6" x14ac:dyDescent="0.25">
      <c r="E123" s="45"/>
      <c r="F123" s="45"/>
    </row>
    <row r="124" spans="5:6" x14ac:dyDescent="0.25">
      <c r="E124" s="45"/>
      <c r="F124" s="45"/>
    </row>
    <row r="125" spans="5:6" x14ac:dyDescent="0.25">
      <c r="E125" s="45"/>
      <c r="F125" s="45"/>
    </row>
    <row r="126" spans="5:6" x14ac:dyDescent="0.25">
      <c r="E126" s="45"/>
      <c r="F126" s="45"/>
    </row>
    <row r="127" spans="5:6" x14ac:dyDescent="0.25">
      <c r="E127" s="45"/>
      <c r="F127" s="45"/>
    </row>
    <row r="128" spans="5:6" x14ac:dyDescent="0.25">
      <c r="E128" s="45"/>
      <c r="F128" s="45"/>
    </row>
    <row r="129" spans="5:6" x14ac:dyDescent="0.25">
      <c r="E129" s="45"/>
      <c r="F129" s="45"/>
    </row>
    <row r="130" spans="5:6" x14ac:dyDescent="0.25">
      <c r="E130" s="45"/>
      <c r="F130" s="45"/>
    </row>
    <row r="131" spans="5:6" x14ac:dyDescent="0.25">
      <c r="E131" s="45"/>
      <c r="F131" s="45"/>
    </row>
    <row r="132" spans="5:6" x14ac:dyDescent="0.25">
      <c r="E132" s="45"/>
      <c r="F132" s="45"/>
    </row>
    <row r="133" spans="5:6" x14ac:dyDescent="0.25">
      <c r="E133" s="45"/>
      <c r="F133" s="45"/>
    </row>
    <row r="134" spans="5:6" x14ac:dyDescent="0.25">
      <c r="E134" s="45"/>
      <c r="F134" s="45"/>
    </row>
    <row r="135" spans="5:6" x14ac:dyDescent="0.25">
      <c r="E135" s="45"/>
      <c r="F135" s="45"/>
    </row>
    <row r="136" spans="5:6" x14ac:dyDescent="0.25">
      <c r="E136" s="45"/>
      <c r="F136" s="45"/>
    </row>
    <row r="137" spans="5:6" x14ac:dyDescent="0.25">
      <c r="E137" s="45"/>
      <c r="F137" s="45"/>
    </row>
    <row r="138" spans="5:6" x14ac:dyDescent="0.25">
      <c r="E138" s="45"/>
      <c r="F138" s="45"/>
    </row>
    <row r="139" spans="5:6" x14ac:dyDescent="0.25">
      <c r="E139" s="45"/>
      <c r="F139" s="45"/>
    </row>
    <row r="140" spans="5:6" x14ac:dyDescent="0.25">
      <c r="E140" s="45"/>
      <c r="F140" s="45"/>
    </row>
    <row r="141" spans="5:6" x14ac:dyDescent="0.25">
      <c r="E141" s="45"/>
      <c r="F141" s="45"/>
    </row>
    <row r="142" spans="5:6" x14ac:dyDescent="0.25">
      <c r="E142" s="45"/>
      <c r="F142" s="45"/>
    </row>
    <row r="143" spans="5:6" x14ac:dyDescent="0.25">
      <c r="E143" s="45"/>
      <c r="F143" s="45"/>
    </row>
    <row r="144" spans="5:6" x14ac:dyDescent="0.25">
      <c r="E144" s="45"/>
      <c r="F144" s="45"/>
    </row>
    <row r="145" spans="5:6" x14ac:dyDescent="0.25">
      <c r="E145" s="45"/>
      <c r="F145" s="45"/>
    </row>
    <row r="146" spans="5:6" x14ac:dyDescent="0.25">
      <c r="E146" s="45"/>
      <c r="F146" s="45"/>
    </row>
    <row r="147" spans="5:6" x14ac:dyDescent="0.25">
      <c r="E147" s="45"/>
      <c r="F147" s="45"/>
    </row>
    <row r="148" spans="5:6" x14ac:dyDescent="0.25">
      <c r="E148" s="45"/>
      <c r="F148" s="45"/>
    </row>
    <row r="149" spans="5:6" x14ac:dyDescent="0.25">
      <c r="E149" s="45"/>
      <c r="F149" s="45"/>
    </row>
    <row r="150" spans="5:6" x14ac:dyDescent="0.25">
      <c r="E150" s="45"/>
      <c r="F150" s="45"/>
    </row>
    <row r="151" spans="5:6" x14ac:dyDescent="0.25">
      <c r="E151" s="45"/>
      <c r="F151" s="45"/>
    </row>
    <row r="152" spans="5:6" x14ac:dyDescent="0.25">
      <c r="E152" s="45"/>
      <c r="F152" s="45"/>
    </row>
    <row r="153" spans="5:6" x14ac:dyDescent="0.25">
      <c r="E153" s="45"/>
      <c r="F153" s="45"/>
    </row>
    <row r="154" spans="5:6" x14ac:dyDescent="0.25">
      <c r="E154" s="45"/>
      <c r="F154" s="45"/>
    </row>
    <row r="155" spans="5:6" x14ac:dyDescent="0.25">
      <c r="E155" s="45"/>
      <c r="F155" s="45"/>
    </row>
    <row r="156" spans="5:6" x14ac:dyDescent="0.25">
      <c r="E156" s="45"/>
      <c r="F156" s="45"/>
    </row>
    <row r="157" spans="5:6" x14ac:dyDescent="0.25">
      <c r="E157" s="45"/>
      <c r="F157" s="45"/>
    </row>
    <row r="158" spans="5:6" x14ac:dyDescent="0.25">
      <c r="E158" s="45"/>
      <c r="F158" s="45"/>
    </row>
    <row r="159" spans="5:6" x14ac:dyDescent="0.25">
      <c r="E159" s="45"/>
      <c r="F159" s="45"/>
    </row>
    <row r="160" spans="5:6" x14ac:dyDescent="0.25">
      <c r="E160" s="45"/>
      <c r="F160" s="45"/>
    </row>
    <row r="161" spans="5:6" x14ac:dyDescent="0.25">
      <c r="E161" s="45"/>
      <c r="F161" s="45"/>
    </row>
    <row r="162" spans="5:6" x14ac:dyDescent="0.25">
      <c r="E162" s="45"/>
      <c r="F162" s="45"/>
    </row>
    <row r="163" spans="5:6" x14ac:dyDescent="0.25">
      <c r="E163" s="45"/>
      <c r="F163" s="45"/>
    </row>
    <row r="164" spans="5:6" x14ac:dyDescent="0.25">
      <c r="E164" s="45"/>
      <c r="F164" s="45"/>
    </row>
    <row r="165" spans="5:6" x14ac:dyDescent="0.25">
      <c r="E165" s="45"/>
      <c r="F165" s="45"/>
    </row>
    <row r="166" spans="5:6" x14ac:dyDescent="0.25">
      <c r="E166" s="45"/>
      <c r="F166" s="45"/>
    </row>
    <row r="167" spans="5:6" x14ac:dyDescent="0.25">
      <c r="E167" s="45"/>
      <c r="F167" s="45"/>
    </row>
    <row r="168" spans="5:6" x14ac:dyDescent="0.25">
      <c r="E168" s="45"/>
      <c r="F168" s="45"/>
    </row>
    <row r="169" spans="5:6" x14ac:dyDescent="0.25">
      <c r="E169" s="45"/>
      <c r="F169" s="45"/>
    </row>
    <row r="170" spans="5:6" x14ac:dyDescent="0.25">
      <c r="E170" s="45"/>
      <c r="F170" s="45"/>
    </row>
    <row r="171" spans="5:6" x14ac:dyDescent="0.25">
      <c r="E171" s="45"/>
      <c r="F171" s="45"/>
    </row>
    <row r="172" spans="5:6" x14ac:dyDescent="0.25">
      <c r="E172" s="45"/>
      <c r="F172" s="45"/>
    </row>
    <row r="173" spans="5:6" x14ac:dyDescent="0.25">
      <c r="E173" s="45"/>
      <c r="F173" s="45"/>
    </row>
    <row r="174" spans="5:6" x14ac:dyDescent="0.25">
      <c r="E174" s="45"/>
      <c r="F174" s="45"/>
    </row>
    <row r="175" spans="5:6" x14ac:dyDescent="0.25">
      <c r="E175" s="45"/>
      <c r="F175" s="45"/>
    </row>
    <row r="176" spans="5:6" x14ac:dyDescent="0.25">
      <c r="E176" s="45"/>
      <c r="F176" s="45"/>
    </row>
    <row r="177" spans="5:6" x14ac:dyDescent="0.25">
      <c r="E177" s="45"/>
      <c r="F177" s="45"/>
    </row>
    <row r="178" spans="5:6" x14ac:dyDescent="0.25">
      <c r="E178" s="45"/>
      <c r="F178" s="45"/>
    </row>
    <row r="179" spans="5:6" x14ac:dyDescent="0.25">
      <c r="E179" s="45"/>
      <c r="F179" s="45"/>
    </row>
    <row r="180" spans="5:6" x14ac:dyDescent="0.25">
      <c r="E180" s="45"/>
      <c r="F180" s="45"/>
    </row>
    <row r="181" spans="5:6" x14ac:dyDescent="0.25">
      <c r="E181" s="45"/>
      <c r="F181" s="45"/>
    </row>
    <row r="182" spans="5:6" x14ac:dyDescent="0.25">
      <c r="E182" s="45"/>
      <c r="F182" s="45"/>
    </row>
    <row r="183" spans="5:6" x14ac:dyDescent="0.25">
      <c r="E183" s="45"/>
      <c r="F183" s="45"/>
    </row>
    <row r="184" spans="5:6" x14ac:dyDescent="0.25">
      <c r="E184" s="45"/>
      <c r="F184" s="45"/>
    </row>
    <row r="185" spans="5:6" x14ac:dyDescent="0.25">
      <c r="E185" s="45"/>
      <c r="F185" s="45"/>
    </row>
    <row r="186" spans="5:6" x14ac:dyDescent="0.25">
      <c r="E186" s="45"/>
      <c r="F186" s="45"/>
    </row>
    <row r="187" spans="5:6" x14ac:dyDescent="0.25">
      <c r="E187" s="45"/>
      <c r="F187" s="45"/>
    </row>
    <row r="188" spans="5:6" x14ac:dyDescent="0.25">
      <c r="E188" s="45"/>
      <c r="F188" s="45"/>
    </row>
    <row r="189" spans="5:6" x14ac:dyDescent="0.25">
      <c r="E189" s="45"/>
      <c r="F189" s="45"/>
    </row>
    <row r="190" spans="5:6" x14ac:dyDescent="0.25">
      <c r="E190" s="45"/>
      <c r="F190" s="45"/>
    </row>
    <row r="191" spans="5:6" x14ac:dyDescent="0.25">
      <c r="E191" s="45"/>
      <c r="F191" s="45"/>
    </row>
    <row r="192" spans="5:6" x14ac:dyDescent="0.25">
      <c r="E192" s="45"/>
      <c r="F192" s="45"/>
    </row>
    <row r="193" spans="5:6" x14ac:dyDescent="0.25">
      <c r="E193" s="45"/>
      <c r="F193" s="45"/>
    </row>
    <row r="194" spans="5:6" x14ac:dyDescent="0.25">
      <c r="E194" s="45"/>
      <c r="F194" s="45"/>
    </row>
    <row r="195" spans="5:6" x14ac:dyDescent="0.25">
      <c r="E195" s="45"/>
      <c r="F195" s="45"/>
    </row>
    <row r="196" spans="5:6" x14ac:dyDescent="0.25">
      <c r="E196" s="45"/>
      <c r="F196" s="45"/>
    </row>
    <row r="197" spans="5:6" x14ac:dyDescent="0.25">
      <c r="E197" s="45"/>
      <c r="F197" s="45"/>
    </row>
    <row r="198" spans="5:6" x14ac:dyDescent="0.25">
      <c r="E198" s="45"/>
      <c r="F198" s="45"/>
    </row>
    <row r="199" spans="5:6" x14ac:dyDescent="0.25">
      <c r="E199" s="45"/>
      <c r="F199" s="45"/>
    </row>
    <row r="200" spans="5:6" x14ac:dyDescent="0.25">
      <c r="E200" s="45"/>
      <c r="F200" s="45"/>
    </row>
    <row r="201" spans="5:6" x14ac:dyDescent="0.25">
      <c r="E201" s="45"/>
      <c r="F201" s="45"/>
    </row>
    <row r="202" spans="5:6" x14ac:dyDescent="0.25">
      <c r="E202" s="45"/>
      <c r="F202" s="45"/>
    </row>
    <row r="203" spans="5:6" x14ac:dyDescent="0.25">
      <c r="E203" s="45"/>
      <c r="F203" s="45"/>
    </row>
    <row r="204" spans="5:6" x14ac:dyDescent="0.25">
      <c r="E204" s="45"/>
      <c r="F204" s="45"/>
    </row>
    <row r="205" spans="5:6" x14ac:dyDescent="0.25">
      <c r="E205" s="45"/>
      <c r="F205" s="45"/>
    </row>
    <row r="206" spans="5:6" x14ac:dyDescent="0.25">
      <c r="E206" s="45"/>
      <c r="F206" s="45"/>
    </row>
    <row r="207" spans="5:6" x14ac:dyDescent="0.25">
      <c r="E207" s="45"/>
      <c r="F207" s="45"/>
    </row>
    <row r="208" spans="5:6" x14ac:dyDescent="0.25">
      <c r="E208" s="45"/>
      <c r="F208" s="45"/>
    </row>
    <row r="209" spans="5:6" x14ac:dyDescent="0.25">
      <c r="E209" s="45"/>
      <c r="F209" s="45"/>
    </row>
    <row r="210" spans="5:6" x14ac:dyDescent="0.25">
      <c r="E210" s="45"/>
      <c r="F210" s="45"/>
    </row>
    <row r="211" spans="5:6" x14ac:dyDescent="0.25">
      <c r="E211" s="45"/>
      <c r="F211" s="45"/>
    </row>
    <row r="212" spans="5:6" x14ac:dyDescent="0.25">
      <c r="E212" s="45"/>
      <c r="F212" s="45"/>
    </row>
    <row r="213" spans="5:6" x14ac:dyDescent="0.25">
      <c r="E213" s="45"/>
      <c r="F213" s="45"/>
    </row>
    <row r="214" spans="5:6" x14ac:dyDescent="0.25">
      <c r="E214" s="45"/>
      <c r="F214" s="45"/>
    </row>
    <row r="215" spans="5:6" x14ac:dyDescent="0.25">
      <c r="E215" s="45"/>
      <c r="F215" s="45"/>
    </row>
    <row r="216" spans="5:6" x14ac:dyDescent="0.25">
      <c r="E216" s="45"/>
      <c r="F216" s="45"/>
    </row>
    <row r="217" spans="5:6" x14ac:dyDescent="0.25">
      <c r="E217" s="45"/>
      <c r="F217" s="45"/>
    </row>
    <row r="218" spans="5:6" x14ac:dyDescent="0.25">
      <c r="E218" s="45"/>
      <c r="F218" s="45"/>
    </row>
    <row r="219" spans="5:6" x14ac:dyDescent="0.25">
      <c r="E219" s="45"/>
      <c r="F219" s="45"/>
    </row>
    <row r="220" spans="5:6" x14ac:dyDescent="0.25">
      <c r="E220" s="45"/>
      <c r="F220" s="45"/>
    </row>
    <row r="221" spans="5:6" x14ac:dyDescent="0.25">
      <c r="E221" s="45"/>
      <c r="F221" s="45"/>
    </row>
    <row r="222" spans="5:6" x14ac:dyDescent="0.25">
      <c r="E222" s="45"/>
      <c r="F222" s="45"/>
    </row>
    <row r="223" spans="5:6" x14ac:dyDescent="0.25">
      <c r="E223" s="45"/>
      <c r="F223" s="45"/>
    </row>
    <row r="224" spans="5:6" x14ac:dyDescent="0.25">
      <c r="E224" s="45"/>
      <c r="F224" s="45"/>
    </row>
    <row r="225" spans="5:6" x14ac:dyDescent="0.25">
      <c r="E225" s="45"/>
      <c r="F225" s="45"/>
    </row>
    <row r="226" spans="5:6" x14ac:dyDescent="0.25">
      <c r="E226" s="45"/>
      <c r="F226" s="45"/>
    </row>
    <row r="227" spans="5:6" x14ac:dyDescent="0.25">
      <c r="E227" s="45"/>
      <c r="F227" s="45"/>
    </row>
    <row r="228" spans="5:6" x14ac:dyDescent="0.25">
      <c r="E228" s="45"/>
      <c r="F228" s="45"/>
    </row>
    <row r="229" spans="5:6" x14ac:dyDescent="0.25">
      <c r="E229" s="45"/>
      <c r="F229" s="45"/>
    </row>
    <row r="230" spans="5:6" x14ac:dyDescent="0.25">
      <c r="E230" s="45"/>
      <c r="F230" s="45"/>
    </row>
    <row r="231" spans="5:6" x14ac:dyDescent="0.25">
      <c r="E231" s="45"/>
      <c r="F231" s="45"/>
    </row>
    <row r="232" spans="5:6" x14ac:dyDescent="0.25">
      <c r="E232" s="45"/>
      <c r="F232" s="45"/>
    </row>
    <row r="233" spans="5:6" x14ac:dyDescent="0.25">
      <c r="E233" s="45"/>
      <c r="F233" s="45"/>
    </row>
    <row r="234" spans="5:6" x14ac:dyDescent="0.25">
      <c r="E234" s="45"/>
      <c r="F234" s="45"/>
    </row>
    <row r="235" spans="5:6" x14ac:dyDescent="0.25">
      <c r="E235" s="45"/>
      <c r="F235" s="45"/>
    </row>
    <row r="236" spans="5:6" x14ac:dyDescent="0.25">
      <c r="E236" s="45"/>
      <c r="F236" s="45"/>
    </row>
    <row r="237" spans="5:6" x14ac:dyDescent="0.25">
      <c r="E237" s="45"/>
      <c r="F237" s="45"/>
    </row>
    <row r="238" spans="5:6" x14ac:dyDescent="0.25">
      <c r="E238" s="45"/>
      <c r="F238" s="45"/>
    </row>
    <row r="239" spans="5:6" x14ac:dyDescent="0.25">
      <c r="E239" s="45"/>
      <c r="F239" s="45"/>
    </row>
    <row r="240" spans="5:6" x14ac:dyDescent="0.25">
      <c r="E240" s="45"/>
      <c r="F240" s="45"/>
    </row>
    <row r="241" spans="5:6" x14ac:dyDescent="0.25">
      <c r="E241" s="45"/>
      <c r="F241" s="45"/>
    </row>
    <row r="242" spans="5:6" x14ac:dyDescent="0.25">
      <c r="E242" s="45"/>
      <c r="F242" s="45"/>
    </row>
    <row r="243" spans="5:6" x14ac:dyDescent="0.25">
      <c r="E243" s="45"/>
      <c r="F243" s="45"/>
    </row>
    <row r="244" spans="5:6" x14ac:dyDescent="0.25">
      <c r="E244" s="45"/>
      <c r="F244" s="45"/>
    </row>
    <row r="245" spans="5:6" x14ac:dyDescent="0.25">
      <c r="E245" s="45"/>
      <c r="F245" s="45"/>
    </row>
    <row r="246" spans="5:6" x14ac:dyDescent="0.25">
      <c r="E246" s="45"/>
      <c r="F246" s="45"/>
    </row>
    <row r="247" spans="5:6" x14ac:dyDescent="0.25">
      <c r="E247" s="45"/>
      <c r="F247" s="45"/>
    </row>
    <row r="248" spans="5:6" x14ac:dyDescent="0.25">
      <c r="E248" s="45"/>
      <c r="F248" s="45"/>
    </row>
    <row r="249" spans="5:6" x14ac:dyDescent="0.25">
      <c r="E249" s="45"/>
      <c r="F249" s="45"/>
    </row>
    <row r="250" spans="5:6" x14ac:dyDescent="0.25">
      <c r="E250" s="45"/>
      <c r="F250" s="45"/>
    </row>
    <row r="251" spans="5:6" x14ac:dyDescent="0.25">
      <c r="E251" s="45"/>
      <c r="F251" s="45"/>
    </row>
    <row r="252" spans="5:6" x14ac:dyDescent="0.25">
      <c r="E252" s="45"/>
      <c r="F252" s="45"/>
    </row>
    <row r="253" spans="5:6" x14ac:dyDescent="0.25">
      <c r="E253" s="45"/>
      <c r="F253" s="45"/>
    </row>
    <row r="254" spans="5:6" x14ac:dyDescent="0.25">
      <c r="E254" s="45"/>
      <c r="F254" s="45"/>
    </row>
    <row r="255" spans="5:6" x14ac:dyDescent="0.25">
      <c r="E255" s="45"/>
      <c r="F255" s="45"/>
    </row>
    <row r="256" spans="5:6" x14ac:dyDescent="0.25">
      <c r="E256" s="45"/>
      <c r="F256" s="45"/>
    </row>
    <row r="257" spans="5:6" x14ac:dyDescent="0.25">
      <c r="E257" s="45"/>
      <c r="F257" s="45"/>
    </row>
    <row r="258" spans="5:6" x14ac:dyDescent="0.25">
      <c r="E258" s="45"/>
      <c r="F258" s="45"/>
    </row>
    <row r="259" spans="5:6" x14ac:dyDescent="0.25">
      <c r="E259" s="45"/>
      <c r="F259" s="45"/>
    </row>
    <row r="260" spans="5:6" x14ac:dyDescent="0.25">
      <c r="E260" s="45"/>
      <c r="F260" s="45"/>
    </row>
    <row r="261" spans="5:6" x14ac:dyDescent="0.25">
      <c r="E261" s="45"/>
      <c r="F261" s="45"/>
    </row>
    <row r="262" spans="5:6" x14ac:dyDescent="0.25">
      <c r="E262" s="45"/>
      <c r="F262" s="45"/>
    </row>
    <row r="263" spans="5:6" x14ac:dyDescent="0.25">
      <c r="E263" s="45"/>
      <c r="F263" s="45"/>
    </row>
    <row r="264" spans="5:6" x14ac:dyDescent="0.25">
      <c r="E264" s="45"/>
      <c r="F264" s="45"/>
    </row>
    <row r="265" spans="5:6" x14ac:dyDescent="0.25">
      <c r="E265" s="45"/>
      <c r="F265" s="45"/>
    </row>
    <row r="266" spans="5:6" x14ac:dyDescent="0.25">
      <c r="E266" s="45"/>
      <c r="F266" s="45"/>
    </row>
    <row r="267" spans="5:6" x14ac:dyDescent="0.25">
      <c r="E267" s="45"/>
      <c r="F267" s="45"/>
    </row>
    <row r="268" spans="5:6" x14ac:dyDescent="0.25">
      <c r="E268" s="45"/>
      <c r="F268" s="45"/>
    </row>
    <row r="269" spans="5:6" x14ac:dyDescent="0.25">
      <c r="E269" s="45"/>
      <c r="F269" s="45"/>
    </row>
    <row r="270" spans="5:6" x14ac:dyDescent="0.25">
      <c r="E270" s="45"/>
      <c r="F270" s="45"/>
    </row>
    <row r="271" spans="5:6" x14ac:dyDescent="0.25">
      <c r="E271" s="45"/>
      <c r="F271" s="45"/>
    </row>
    <row r="272" spans="5:6" x14ac:dyDescent="0.25">
      <c r="E272" s="45"/>
      <c r="F272" s="45"/>
    </row>
    <row r="273" spans="5:6" x14ac:dyDescent="0.25">
      <c r="E273" s="45"/>
      <c r="F273" s="45"/>
    </row>
    <row r="274" spans="5:6" x14ac:dyDescent="0.25">
      <c r="E274" s="45"/>
      <c r="F274" s="45"/>
    </row>
    <row r="275" spans="5:6" x14ac:dyDescent="0.25">
      <c r="E275" s="45"/>
      <c r="F275" s="45"/>
    </row>
    <row r="276" spans="5:6" x14ac:dyDescent="0.25">
      <c r="E276" s="45"/>
      <c r="F276" s="45"/>
    </row>
    <row r="277" spans="5:6" x14ac:dyDescent="0.25">
      <c r="E277" s="45"/>
      <c r="F277" s="45"/>
    </row>
    <row r="278" spans="5:6" x14ac:dyDescent="0.25">
      <c r="E278" s="45"/>
      <c r="F278" s="45"/>
    </row>
    <row r="279" spans="5:6" x14ac:dyDescent="0.25">
      <c r="E279" s="45"/>
      <c r="F279" s="45"/>
    </row>
    <row r="280" spans="5:6" x14ac:dyDescent="0.25">
      <c r="E280" s="45"/>
      <c r="F280" s="45"/>
    </row>
    <row r="281" spans="5:6" x14ac:dyDescent="0.25">
      <c r="E281" s="45"/>
      <c r="F281" s="45"/>
    </row>
    <row r="282" spans="5:6" x14ac:dyDescent="0.25">
      <c r="E282" s="45"/>
      <c r="F282" s="45"/>
    </row>
    <row r="283" spans="5:6" x14ac:dyDescent="0.25">
      <c r="E283" s="45"/>
      <c r="F283" s="45"/>
    </row>
    <row r="284" spans="5:6" x14ac:dyDescent="0.25">
      <c r="E284" s="45"/>
      <c r="F284" s="45"/>
    </row>
    <row r="285" spans="5:6" x14ac:dyDescent="0.25">
      <c r="E285" s="45"/>
      <c r="F285" s="45"/>
    </row>
    <row r="286" spans="5:6" x14ac:dyDescent="0.25">
      <c r="E286" s="45"/>
      <c r="F286" s="45"/>
    </row>
    <row r="287" spans="5:6" x14ac:dyDescent="0.25">
      <c r="E287" s="45"/>
      <c r="F287" s="45"/>
    </row>
    <row r="288" spans="5:6" x14ac:dyDescent="0.25">
      <c r="E288" s="45"/>
      <c r="F288" s="45"/>
    </row>
    <row r="289" spans="5:6" x14ac:dyDescent="0.25">
      <c r="E289" s="45"/>
      <c r="F289" s="45"/>
    </row>
    <row r="290" spans="5:6" x14ac:dyDescent="0.25">
      <c r="E290" s="45"/>
      <c r="F290" s="45"/>
    </row>
    <row r="291" spans="5:6" x14ac:dyDescent="0.25">
      <c r="E291" s="45"/>
      <c r="F291" s="45"/>
    </row>
    <row r="292" spans="5:6" x14ac:dyDescent="0.25">
      <c r="E292" s="45"/>
      <c r="F292" s="45"/>
    </row>
    <row r="293" spans="5:6" x14ac:dyDescent="0.25">
      <c r="E293" s="45"/>
      <c r="F293" s="45"/>
    </row>
    <row r="294" spans="5:6" x14ac:dyDescent="0.25">
      <c r="E294" s="45"/>
      <c r="F294" s="45"/>
    </row>
    <row r="295" spans="5:6" x14ac:dyDescent="0.25">
      <c r="E295" s="45"/>
      <c r="F295" s="45"/>
    </row>
    <row r="296" spans="5:6" x14ac:dyDescent="0.25">
      <c r="E296" s="45"/>
      <c r="F296" s="45"/>
    </row>
    <row r="297" spans="5:6" x14ac:dyDescent="0.25">
      <c r="E297" s="45"/>
      <c r="F297" s="45"/>
    </row>
    <row r="298" spans="5:6" x14ac:dyDescent="0.25">
      <c r="E298" s="45"/>
      <c r="F298" s="45"/>
    </row>
    <row r="299" spans="5:6" x14ac:dyDescent="0.25">
      <c r="E299" s="45"/>
      <c r="F299" s="45"/>
    </row>
    <row r="300" spans="5:6" x14ac:dyDescent="0.25">
      <c r="E300" s="45"/>
      <c r="F300" s="45"/>
    </row>
    <row r="301" spans="5:6" x14ac:dyDescent="0.25">
      <c r="E301" s="45"/>
      <c r="F301" s="45"/>
    </row>
    <row r="302" spans="5:6" x14ac:dyDescent="0.25">
      <c r="E302" s="45"/>
      <c r="F302" s="45"/>
    </row>
    <row r="303" spans="5:6" x14ac:dyDescent="0.25">
      <c r="E303" s="45"/>
      <c r="F303" s="45"/>
    </row>
    <row r="304" spans="5:6" x14ac:dyDescent="0.25">
      <c r="E304" s="45"/>
      <c r="F304" s="45"/>
    </row>
    <row r="305" spans="5:6" x14ac:dyDescent="0.25">
      <c r="E305" s="45"/>
      <c r="F305" s="45"/>
    </row>
    <row r="306" spans="5:6" x14ac:dyDescent="0.25">
      <c r="E306" s="45"/>
      <c r="F306" s="45"/>
    </row>
    <row r="307" spans="5:6" x14ac:dyDescent="0.25">
      <c r="E307" s="45"/>
      <c r="F307" s="45"/>
    </row>
    <row r="308" spans="5:6" x14ac:dyDescent="0.25">
      <c r="E308" s="45"/>
      <c r="F308" s="45"/>
    </row>
    <row r="309" spans="5:6" x14ac:dyDescent="0.25">
      <c r="E309" s="45"/>
      <c r="F309" s="45"/>
    </row>
    <row r="310" spans="5:6" x14ac:dyDescent="0.25">
      <c r="E310" s="45"/>
      <c r="F310" s="45"/>
    </row>
    <row r="311" spans="5:6" x14ac:dyDescent="0.25">
      <c r="E311" s="45"/>
      <c r="F311" s="45"/>
    </row>
    <row r="312" spans="5:6" x14ac:dyDescent="0.25">
      <c r="E312" s="45"/>
      <c r="F312" s="45"/>
    </row>
    <row r="313" spans="5:6" x14ac:dyDescent="0.25">
      <c r="E313" s="45"/>
      <c r="F313" s="45"/>
    </row>
    <row r="314" spans="5:6" x14ac:dyDescent="0.25">
      <c r="E314" s="45"/>
      <c r="F314" s="45"/>
    </row>
    <row r="315" spans="5:6" x14ac:dyDescent="0.25">
      <c r="E315" s="45"/>
      <c r="F315" s="45"/>
    </row>
    <row r="316" spans="5:6" x14ac:dyDescent="0.25">
      <c r="E316" s="45"/>
      <c r="F316" s="45"/>
    </row>
    <row r="317" spans="5:6" x14ac:dyDescent="0.25">
      <c r="E317" s="45"/>
      <c r="F317" s="45"/>
    </row>
    <row r="318" spans="5:6" x14ac:dyDescent="0.25">
      <c r="E318" s="45"/>
      <c r="F318" s="45"/>
    </row>
    <row r="319" spans="5:6" x14ac:dyDescent="0.25">
      <c r="E319" s="45"/>
      <c r="F319" s="45"/>
    </row>
    <row r="320" spans="5:6" x14ac:dyDescent="0.25">
      <c r="E320" s="45"/>
      <c r="F320" s="45"/>
    </row>
    <row r="321" spans="5:6" x14ac:dyDescent="0.25">
      <c r="E321" s="45"/>
      <c r="F321" s="45"/>
    </row>
    <row r="322" spans="5:6" x14ac:dyDescent="0.25">
      <c r="E322" s="45"/>
      <c r="F322" s="45"/>
    </row>
    <row r="323" spans="5:6" x14ac:dyDescent="0.25">
      <c r="E323" s="45"/>
      <c r="F323" s="45"/>
    </row>
    <row r="324" spans="5:6" x14ac:dyDescent="0.25">
      <c r="E324" s="45"/>
      <c r="F324" s="45"/>
    </row>
    <row r="325" spans="5:6" x14ac:dyDescent="0.25">
      <c r="E325" s="45"/>
      <c r="F325" s="45"/>
    </row>
    <row r="326" spans="5:6" x14ac:dyDescent="0.25">
      <c r="E326" s="45"/>
      <c r="F326" s="45"/>
    </row>
    <row r="327" spans="5:6" x14ac:dyDescent="0.25">
      <c r="E327" s="45"/>
      <c r="F327" s="45"/>
    </row>
    <row r="328" spans="5:6" x14ac:dyDescent="0.25">
      <c r="E328" s="45"/>
      <c r="F328" s="45"/>
    </row>
    <row r="329" spans="5:6" x14ac:dyDescent="0.25">
      <c r="E329" s="45"/>
      <c r="F329" s="45"/>
    </row>
    <row r="330" spans="5:6" x14ac:dyDescent="0.25">
      <c r="E330" s="45"/>
      <c r="F330" s="45"/>
    </row>
    <row r="331" spans="5:6" x14ac:dyDescent="0.25">
      <c r="E331" s="45"/>
      <c r="F331" s="45"/>
    </row>
    <row r="332" spans="5:6" x14ac:dyDescent="0.25">
      <c r="E332" s="45"/>
      <c r="F332" s="45"/>
    </row>
    <row r="333" spans="5:6" x14ac:dyDescent="0.25">
      <c r="E333" s="45"/>
      <c r="F333" s="45"/>
    </row>
    <row r="334" spans="5:6" x14ac:dyDescent="0.25">
      <c r="E334" s="45"/>
      <c r="F334" s="45"/>
    </row>
    <row r="335" spans="5:6" x14ac:dyDescent="0.25">
      <c r="E335" s="45"/>
      <c r="F335" s="45"/>
    </row>
    <row r="336" spans="5:6" x14ac:dyDescent="0.25">
      <c r="E336" s="45"/>
      <c r="F336" s="45"/>
    </row>
    <row r="337" spans="5:6" x14ac:dyDescent="0.25">
      <c r="E337" s="45"/>
      <c r="F337" s="45"/>
    </row>
    <row r="338" spans="5:6" x14ac:dyDescent="0.25">
      <c r="E338" s="45"/>
      <c r="F338" s="45"/>
    </row>
    <row r="339" spans="5:6" x14ac:dyDescent="0.25">
      <c r="E339" s="45"/>
      <c r="F339" s="45"/>
    </row>
    <row r="340" spans="5:6" x14ac:dyDescent="0.25">
      <c r="E340" s="45"/>
      <c r="F340" s="45"/>
    </row>
    <row r="341" spans="5:6" x14ac:dyDescent="0.25">
      <c r="E341" s="45"/>
      <c r="F341" s="45"/>
    </row>
    <row r="342" spans="5:6" x14ac:dyDescent="0.25">
      <c r="E342" s="45"/>
      <c r="F342" s="45"/>
    </row>
    <row r="343" spans="5:6" x14ac:dyDescent="0.25">
      <c r="E343" s="45"/>
      <c r="F343" s="45"/>
    </row>
    <row r="344" spans="5:6" x14ac:dyDescent="0.25">
      <c r="E344" s="45"/>
      <c r="F344" s="45"/>
    </row>
    <row r="345" spans="5:6" x14ac:dyDescent="0.25">
      <c r="E345" s="45"/>
      <c r="F345" s="45"/>
    </row>
    <row r="346" spans="5:6" x14ac:dyDescent="0.25">
      <c r="E346" s="45"/>
      <c r="F346" s="45"/>
    </row>
    <row r="347" spans="5:6" x14ac:dyDescent="0.25">
      <c r="E347" s="45"/>
      <c r="F347" s="45"/>
    </row>
    <row r="348" spans="5:6" x14ac:dyDescent="0.25">
      <c r="E348" s="45"/>
      <c r="F348" s="45"/>
    </row>
    <row r="349" spans="5:6" x14ac:dyDescent="0.25">
      <c r="E349" s="45"/>
      <c r="F349" s="45"/>
    </row>
    <row r="350" spans="5:6" x14ac:dyDescent="0.25">
      <c r="E350" s="45"/>
      <c r="F350" s="45"/>
    </row>
    <row r="351" spans="5:6" x14ac:dyDescent="0.25">
      <c r="E351" s="45"/>
      <c r="F351" s="45"/>
    </row>
    <row r="352" spans="5:6" x14ac:dyDescent="0.25">
      <c r="E352" s="45"/>
      <c r="F352" s="45"/>
    </row>
    <row r="353" spans="5:6" x14ac:dyDescent="0.25">
      <c r="E353" s="45"/>
      <c r="F353" s="45"/>
    </row>
    <row r="354" spans="5:6" x14ac:dyDescent="0.25">
      <c r="E354" s="45"/>
      <c r="F354" s="45"/>
    </row>
    <row r="355" spans="5:6" x14ac:dyDescent="0.25">
      <c r="E355" s="45"/>
      <c r="F355" s="45"/>
    </row>
    <row r="356" spans="5:6" x14ac:dyDescent="0.25">
      <c r="E356" s="45"/>
      <c r="F356" s="45"/>
    </row>
    <row r="357" spans="5:6" x14ac:dyDescent="0.25">
      <c r="E357" s="45"/>
      <c r="F357" s="45"/>
    </row>
  </sheetData>
  <mergeCells count="3">
    <mergeCell ref="E1:G1"/>
    <mergeCell ref="I1:K1"/>
    <mergeCell ref="E2:F2"/>
  </mergeCells>
  <conditionalFormatting sqref="A4:K45">
    <cfRule type="containsBlanks" dxfId="3" priority="4">
      <formula>LEN(TRIM(A4))=0</formula>
    </cfRule>
  </conditionalFormatting>
  <pageMargins left="0.7" right="0.7" top="0.78740157499999996" bottom="0.78740157499999996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29"/>
  <sheetViews>
    <sheetView zoomScaleNormal="100" workbookViewId="0">
      <selection activeCell="B28" sqref="B28"/>
    </sheetView>
  </sheetViews>
  <sheetFormatPr baseColWidth="10" defaultRowHeight="15" x14ac:dyDescent="0.25"/>
  <cols>
    <col min="1" max="1" width="35.85546875" customWidth="1"/>
    <col min="2" max="2" width="18.85546875" customWidth="1"/>
    <col min="3" max="4" width="18.28515625" customWidth="1"/>
    <col min="5" max="5" width="17.5703125" customWidth="1"/>
    <col min="6" max="6" width="13.5703125" customWidth="1"/>
  </cols>
  <sheetData>
    <row r="1" spans="1:8" x14ac:dyDescent="0.25">
      <c r="A1" s="6" t="s">
        <v>41</v>
      </c>
      <c r="B1" s="8" t="s">
        <v>46</v>
      </c>
      <c r="C1" s="8" t="s">
        <v>47</v>
      </c>
      <c r="D1" s="8" t="s">
        <v>80</v>
      </c>
      <c r="E1" s="7" t="s">
        <v>75</v>
      </c>
      <c r="F1" s="7" t="s">
        <v>78</v>
      </c>
      <c r="G1" s="7" t="s">
        <v>76</v>
      </c>
      <c r="H1" s="7" t="s">
        <v>77</v>
      </c>
    </row>
    <row r="2" spans="1:8" x14ac:dyDescent="0.25">
      <c r="A2" t="s">
        <v>86</v>
      </c>
      <c r="B2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2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2" s="24">
        <f ca="1">Tabelle6[[#This Row],[Wkt Crit Success]]+Tabelle6[[#This Row],[Wkt Success2]]</f>
        <v>0</v>
      </c>
      <c r="E2" s="23">
        <f ca="1">LOOKUP(Tabelle6[[#This Row],[Challenges]],Rechnungen!$A$3:$A$27,Rechnungen!$AB$3:$AB$27)</f>
        <v>0</v>
      </c>
      <c r="F2" s="23">
        <f ca="1">LOOKUP(Tabelle6[[#This Row],[Challenges]],Rechnungen!$A$3:$A$27,Rechnungen!$AC$3:$AC$27)</f>
        <v>0</v>
      </c>
      <c r="G2" s="23">
        <f ca="1">LOOKUP(Tabelle6[[#This Row],[Challenges]],Rechnungen!$A$3:$A$27,Rechnungen!$AD$3:$AD$27)</f>
        <v>1</v>
      </c>
      <c r="H2" s="23">
        <f ca="1">LOOKUP(Tabelle6[[#This Row],[Challenges]],Rechnungen!$A$3:$A$27,Rechnungen!$AE$3:$AE$27)</f>
        <v>0</v>
      </c>
    </row>
    <row r="3" spans="1:8" x14ac:dyDescent="0.25">
      <c r="A3" t="s">
        <v>87</v>
      </c>
      <c r="B3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3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3" s="24">
        <f ca="1">Tabelle6[[#This Row],[Wkt Crit Success]]+Tabelle6[[#This Row],[Wkt Success2]]</f>
        <v>0</v>
      </c>
      <c r="E3" s="23">
        <f ca="1">LOOKUP(Tabelle6[[#This Row],[Challenges]],Rechnungen!$A$3:$A$27,Rechnungen!$AB$3:$AB$27)</f>
        <v>0</v>
      </c>
      <c r="F3" s="23">
        <f ca="1">LOOKUP(Tabelle6[[#This Row],[Challenges]],Rechnungen!$A$3:$A$27,Rechnungen!$AC$3:$AC$27)</f>
        <v>0</v>
      </c>
      <c r="G3" s="23">
        <f ca="1">LOOKUP(Tabelle6[[#This Row],[Challenges]],Rechnungen!$A$3:$A$27,Rechnungen!$AD$3:$AD$27)</f>
        <v>1</v>
      </c>
      <c r="H3" s="23">
        <f ca="1">LOOKUP(Tabelle6[[#This Row],[Challenges]],Rechnungen!$A$3:$A$27,Rechnungen!$AE$3:$AE$27)</f>
        <v>0</v>
      </c>
    </row>
    <row r="4" spans="1:8" x14ac:dyDescent="0.25">
      <c r="A4" s="12" t="s">
        <v>3</v>
      </c>
      <c r="B4" s="8" t="str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/>
      </c>
      <c r="C4" s="8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>0</v>
      </c>
      <c r="D4" s="24">
        <f ca="1">Tabelle6[[#This Row],[Wkt Crit Success]]+Tabelle6[[#This Row],[Wkt Success2]]</f>
        <v>1</v>
      </c>
      <c r="E4" s="23">
        <f ca="1">LOOKUP(Tabelle6[[#This Row],[Challenges]],Rechnungen!$A$3:$A$27,Rechnungen!$AB$3:$AB$27)</f>
        <v>0</v>
      </c>
      <c r="F4" s="23">
        <f ca="1">LOOKUP(Tabelle6[[#This Row],[Challenges]],Rechnungen!$A$3:$A$27,Rechnungen!$AC$3:$AC$27)</f>
        <v>1</v>
      </c>
      <c r="G4" s="23">
        <f ca="1">LOOKUP(Tabelle6[[#This Row],[Challenges]],Rechnungen!$A$3:$A$27,Rechnungen!$AD$3:$AD$27)</f>
        <v>0</v>
      </c>
      <c r="H4" s="23">
        <f ca="1">LOOKUP(Tabelle6[[#This Row],[Challenges]],Rechnungen!$A$3:$A$27,Rechnungen!$AE$3:$AE$27)</f>
        <v>0</v>
      </c>
    </row>
    <row r="5" spans="1:8" x14ac:dyDescent="0.25">
      <c r="A5" t="s">
        <v>88</v>
      </c>
      <c r="B5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5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5" s="24">
        <f ca="1">Tabelle6[[#This Row],[Wkt Crit Success]]+Tabelle6[[#This Row],[Wkt Success2]]</f>
        <v>0</v>
      </c>
      <c r="E5" s="23">
        <f ca="1">LOOKUP(Tabelle6[[#This Row],[Challenges]],Rechnungen!$A$3:$A$27,Rechnungen!$AB$3:$AB$27)</f>
        <v>0</v>
      </c>
      <c r="F5" s="23">
        <f ca="1">LOOKUP(Tabelle6[[#This Row],[Challenges]],Rechnungen!$A$3:$A$27,Rechnungen!$AC$3:$AC$27)</f>
        <v>0</v>
      </c>
      <c r="G5" s="23">
        <f ca="1">LOOKUP(Tabelle6[[#This Row],[Challenges]],Rechnungen!$A$3:$A$27,Rechnungen!$AD$3:$AD$27)</f>
        <v>1</v>
      </c>
      <c r="H5" s="23">
        <f ca="1">LOOKUP(Tabelle6[[#This Row],[Challenges]],Rechnungen!$A$3:$A$27,Rechnungen!$AE$3:$AE$27)</f>
        <v>0</v>
      </c>
    </row>
    <row r="6" spans="1:8" x14ac:dyDescent="0.25">
      <c r="A6" t="s">
        <v>89</v>
      </c>
      <c r="B6" s="8" t="str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/>
      </c>
      <c r="C6" s="8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>0</v>
      </c>
      <c r="D6" s="24">
        <f ca="1">Tabelle6[[#This Row],[Wkt Crit Success]]+Tabelle6[[#This Row],[Wkt Success2]]</f>
        <v>0.05</v>
      </c>
      <c r="E6" s="23">
        <f ca="1">LOOKUP(Tabelle6[[#This Row],[Challenges]],Rechnungen!$A$3:$A$27,Rechnungen!$AB$3:$AB$27)</f>
        <v>0</v>
      </c>
      <c r="F6" s="23">
        <f ca="1">LOOKUP(Tabelle6[[#This Row],[Challenges]],Rechnungen!$A$3:$A$27,Rechnungen!$AC$3:$AC$27)</f>
        <v>0.05</v>
      </c>
      <c r="G6" s="23">
        <f ca="1">LOOKUP(Tabelle6[[#This Row],[Challenges]],Rechnungen!$A$3:$A$27,Rechnungen!$AD$3:$AD$27)</f>
        <v>0.95</v>
      </c>
      <c r="H6" s="23">
        <f ca="1">LOOKUP(Tabelle6[[#This Row],[Challenges]],Rechnungen!$A$3:$A$27,Rechnungen!$AE$3:$AE$27)</f>
        <v>0</v>
      </c>
    </row>
    <row r="7" spans="1:8" x14ac:dyDescent="0.25">
      <c r="A7" t="s">
        <v>90</v>
      </c>
      <c r="B7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7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7" s="24">
        <f ca="1">Tabelle6[[#This Row],[Wkt Crit Success]]+Tabelle6[[#This Row],[Wkt Success2]]</f>
        <v>0.05</v>
      </c>
      <c r="E7" s="23">
        <f ca="1">LOOKUP(Tabelle6[[#This Row],[Challenges]],Rechnungen!$A$3:$A$27,Rechnungen!$AB$3:$AB$27)</f>
        <v>0</v>
      </c>
      <c r="F7" s="23">
        <f ca="1">LOOKUP(Tabelle6[[#This Row],[Challenges]],Rechnungen!$A$3:$A$27,Rechnungen!$AC$3:$AC$27)</f>
        <v>0.05</v>
      </c>
      <c r="G7" s="23">
        <f ca="1">LOOKUP(Tabelle6[[#This Row],[Challenges]],Rechnungen!$A$3:$A$27,Rechnungen!$AD$3:$AD$27)</f>
        <v>0.95</v>
      </c>
      <c r="H7" s="23">
        <f ca="1">LOOKUP(Tabelle6[[#This Row],[Challenges]],Rechnungen!$A$3:$A$27,Rechnungen!$AE$3:$AE$27)</f>
        <v>0</v>
      </c>
    </row>
    <row r="8" spans="1:8" x14ac:dyDescent="0.25">
      <c r="A8" s="31" t="s">
        <v>91</v>
      </c>
      <c r="B8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8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8" s="24">
        <f ca="1">Tabelle6[[#This Row],[Wkt Crit Success]]+Tabelle6[[#This Row],[Wkt Success2]]</f>
        <v>0</v>
      </c>
      <c r="E8" s="23">
        <f ca="1">LOOKUP(Tabelle6[[#This Row],[Challenges]],Rechnungen!$A$3:$A$27,Rechnungen!$AB$3:$AB$27)</f>
        <v>0</v>
      </c>
      <c r="F8" s="23">
        <f ca="1">LOOKUP(Tabelle6[[#This Row],[Challenges]],Rechnungen!$A$3:$A$27,Rechnungen!$AC$3:$AC$27)</f>
        <v>0</v>
      </c>
      <c r="G8" s="23">
        <f ca="1">LOOKUP(Tabelle6[[#This Row],[Challenges]],Rechnungen!$A$3:$A$27,Rechnungen!$AD$3:$AD$27)</f>
        <v>1</v>
      </c>
      <c r="H8" s="23">
        <f ca="1">LOOKUP(Tabelle6[[#This Row],[Challenges]],Rechnungen!$A$3:$A$27,Rechnungen!$AE$3:$AE$27)</f>
        <v>0</v>
      </c>
    </row>
    <row r="9" spans="1:8" x14ac:dyDescent="0.25">
      <c r="A9" t="s">
        <v>92</v>
      </c>
      <c r="B9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9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9" s="24">
        <f ca="1">Tabelle6[[#This Row],[Wkt Crit Success]]+Tabelle6[[#This Row],[Wkt Success2]]</f>
        <v>0</v>
      </c>
      <c r="E9" s="23">
        <f ca="1">LOOKUP(Tabelle6[[#This Row],[Challenges]],Rechnungen!$A$3:$A$27,Rechnungen!$AB$3:$AB$27)</f>
        <v>0</v>
      </c>
      <c r="F9" s="23">
        <f ca="1">LOOKUP(Tabelle6[[#This Row],[Challenges]],Rechnungen!$A$3:$A$27,Rechnungen!$AC$3:$AC$27)</f>
        <v>0</v>
      </c>
      <c r="G9" s="23">
        <f ca="1">LOOKUP(Tabelle6[[#This Row],[Challenges]],Rechnungen!$A$3:$A$27,Rechnungen!$AD$3:$AD$27)</f>
        <v>1</v>
      </c>
      <c r="H9" s="23">
        <f ca="1">LOOKUP(Tabelle6[[#This Row],[Challenges]],Rechnungen!$A$3:$A$27,Rechnungen!$AE$3:$AE$27)</f>
        <v>0</v>
      </c>
    </row>
    <row r="10" spans="1:8" x14ac:dyDescent="0.25">
      <c r="A10" t="s">
        <v>93</v>
      </c>
      <c r="B10" s="8" t="str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/>
      </c>
      <c r="C10" s="8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>0</v>
      </c>
      <c r="D10" s="24">
        <f ca="1">Tabelle6[[#This Row],[Wkt Crit Success]]+Tabelle6[[#This Row],[Wkt Success2]]</f>
        <v>0.05</v>
      </c>
      <c r="E10" s="23">
        <f ca="1">LOOKUP(Tabelle6[[#This Row],[Challenges]],Rechnungen!$A$3:$A$27,Rechnungen!$AB$3:$AB$27)</f>
        <v>0</v>
      </c>
      <c r="F10" s="23">
        <f ca="1">LOOKUP(Tabelle6[[#This Row],[Challenges]],Rechnungen!$A$3:$A$27,Rechnungen!$AC$3:$AC$27)</f>
        <v>0.05</v>
      </c>
      <c r="G10" s="23">
        <f ca="1">LOOKUP(Tabelle6[[#This Row],[Challenges]],Rechnungen!$A$3:$A$27,Rechnungen!$AD$3:$AD$27)</f>
        <v>0.95</v>
      </c>
      <c r="H10" s="23">
        <f ca="1">LOOKUP(Tabelle6[[#This Row],[Challenges]],Rechnungen!$A$3:$A$27,Rechnungen!$AE$3:$AE$27)</f>
        <v>0</v>
      </c>
    </row>
    <row r="11" spans="1:8" x14ac:dyDescent="0.25">
      <c r="A11" t="s">
        <v>94</v>
      </c>
      <c r="B11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1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1" s="24">
        <f ca="1">Tabelle6[[#This Row],[Wkt Crit Success]]+Tabelle6[[#This Row],[Wkt Success2]]</f>
        <v>0</v>
      </c>
      <c r="E11" s="23">
        <f ca="1">LOOKUP(Tabelle6[[#This Row],[Challenges]],Rechnungen!$A$3:$A$27,Rechnungen!$AB$3:$AB$27)</f>
        <v>0</v>
      </c>
      <c r="F11" s="23">
        <f ca="1">LOOKUP(Tabelle6[[#This Row],[Challenges]],Rechnungen!$A$3:$A$27,Rechnungen!$AC$3:$AC$27)</f>
        <v>0</v>
      </c>
      <c r="G11" s="23">
        <f ca="1">LOOKUP(Tabelle6[[#This Row],[Challenges]],Rechnungen!$A$3:$A$27,Rechnungen!$AD$3:$AD$27)</f>
        <v>1</v>
      </c>
      <c r="H11" s="23">
        <f ca="1">LOOKUP(Tabelle6[[#This Row],[Challenges]],Rechnungen!$A$3:$A$27,Rechnungen!$AE$3:$AE$27)</f>
        <v>0</v>
      </c>
    </row>
    <row r="12" spans="1:8" x14ac:dyDescent="0.25">
      <c r="A12" t="s">
        <v>95</v>
      </c>
      <c r="B12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2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2" s="24">
        <f ca="1">Tabelle6[[#This Row],[Wkt Crit Success]]+Tabelle6[[#This Row],[Wkt Success2]]</f>
        <v>0</v>
      </c>
      <c r="E12" s="23">
        <f ca="1">LOOKUP(Tabelle6[[#This Row],[Challenges]],Rechnungen!$A$3:$A$27,Rechnungen!$AB$3:$AB$27)</f>
        <v>0</v>
      </c>
      <c r="F12" s="23">
        <f ca="1">LOOKUP(Tabelle6[[#This Row],[Challenges]],Rechnungen!$A$3:$A$27,Rechnungen!$AC$3:$AC$27)</f>
        <v>0</v>
      </c>
      <c r="G12" s="23">
        <f ca="1">LOOKUP(Tabelle6[[#This Row],[Challenges]],Rechnungen!$A$3:$A$27,Rechnungen!$AD$3:$AD$27)</f>
        <v>1</v>
      </c>
      <c r="H12" s="23">
        <f ca="1">LOOKUP(Tabelle6[[#This Row],[Challenges]],Rechnungen!$A$3:$A$27,Rechnungen!$AE$3:$AE$27)</f>
        <v>0</v>
      </c>
    </row>
    <row r="13" spans="1:8" x14ac:dyDescent="0.25">
      <c r="A13" t="s">
        <v>96</v>
      </c>
      <c r="B13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3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3" s="24">
        <f ca="1">Tabelle6[[#This Row],[Wkt Crit Success]]+Tabelle6[[#This Row],[Wkt Success2]]</f>
        <v>0</v>
      </c>
      <c r="E13" s="23">
        <f ca="1">LOOKUP(Tabelle6[[#This Row],[Challenges]],Rechnungen!$A$3:$A$27,Rechnungen!$AB$3:$AB$27)</f>
        <v>0</v>
      </c>
      <c r="F13" s="23">
        <f ca="1">LOOKUP(Tabelle6[[#This Row],[Challenges]],Rechnungen!$A$3:$A$27,Rechnungen!$AC$3:$AC$27)</f>
        <v>0</v>
      </c>
      <c r="G13" s="23">
        <f ca="1">LOOKUP(Tabelle6[[#This Row],[Challenges]],Rechnungen!$A$3:$A$27,Rechnungen!$AD$3:$AD$27)</f>
        <v>1</v>
      </c>
      <c r="H13" s="23">
        <f ca="1">LOOKUP(Tabelle6[[#This Row],[Challenges]],Rechnungen!$A$3:$A$27,Rechnungen!$AE$3:$AE$27)</f>
        <v>0</v>
      </c>
    </row>
    <row r="14" spans="1:8" x14ac:dyDescent="0.25">
      <c r="A14" t="s">
        <v>97</v>
      </c>
      <c r="B14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4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4" s="24">
        <f ca="1">Tabelle6[[#This Row],[Wkt Crit Success]]+Tabelle6[[#This Row],[Wkt Success2]]</f>
        <v>0</v>
      </c>
      <c r="E14" s="23">
        <f ca="1">LOOKUP(Tabelle6[[#This Row],[Challenges]],Rechnungen!$A$3:$A$27,Rechnungen!$AB$3:$AB$27)</f>
        <v>0</v>
      </c>
      <c r="F14" s="23">
        <f ca="1">LOOKUP(Tabelle6[[#This Row],[Challenges]],Rechnungen!$A$3:$A$27,Rechnungen!$AC$3:$AC$27)</f>
        <v>0</v>
      </c>
      <c r="G14" s="23">
        <f ca="1">LOOKUP(Tabelle6[[#This Row],[Challenges]],Rechnungen!$A$3:$A$27,Rechnungen!$AD$3:$AD$27)</f>
        <v>1</v>
      </c>
      <c r="H14" s="23">
        <f ca="1">LOOKUP(Tabelle6[[#This Row],[Challenges]],Rechnungen!$A$3:$A$27,Rechnungen!$AE$3:$AE$27)</f>
        <v>0</v>
      </c>
    </row>
    <row r="15" spans="1:8" x14ac:dyDescent="0.25">
      <c r="A15" t="s">
        <v>98</v>
      </c>
      <c r="B15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5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5" s="24">
        <f ca="1">Tabelle6[[#This Row],[Wkt Crit Success]]+Tabelle6[[#This Row],[Wkt Success2]]</f>
        <v>0</v>
      </c>
      <c r="E15" s="23">
        <f ca="1">LOOKUP(Tabelle6[[#This Row],[Challenges]],Rechnungen!$A$3:$A$27,Rechnungen!$AB$3:$AB$27)</f>
        <v>0</v>
      </c>
      <c r="F15" s="23">
        <f ca="1">LOOKUP(Tabelle6[[#This Row],[Challenges]],Rechnungen!$A$3:$A$27,Rechnungen!$AC$3:$AC$27)</f>
        <v>0</v>
      </c>
      <c r="G15" s="23">
        <f ca="1">LOOKUP(Tabelle6[[#This Row],[Challenges]],Rechnungen!$A$3:$A$27,Rechnungen!$AD$3:$AD$27)</f>
        <v>1</v>
      </c>
      <c r="H15" s="23">
        <f ca="1">LOOKUP(Tabelle6[[#This Row],[Challenges]],Rechnungen!$A$3:$A$27,Rechnungen!$AE$3:$AE$27)</f>
        <v>0</v>
      </c>
    </row>
    <row r="16" spans="1:8" x14ac:dyDescent="0.25">
      <c r="A16" t="s">
        <v>99</v>
      </c>
      <c r="B16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6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6" s="24">
        <f ca="1">Tabelle6[[#This Row],[Wkt Crit Success]]+Tabelle6[[#This Row],[Wkt Success2]]</f>
        <v>0</v>
      </c>
      <c r="E16" s="23">
        <f ca="1">LOOKUP(Tabelle6[[#This Row],[Challenges]],Rechnungen!$A$3:$A$27,Rechnungen!$AB$3:$AB$27)</f>
        <v>0</v>
      </c>
      <c r="F16" s="23">
        <f ca="1">LOOKUP(Tabelle6[[#This Row],[Challenges]],Rechnungen!$A$3:$A$27,Rechnungen!$AC$3:$AC$27)</f>
        <v>0</v>
      </c>
      <c r="G16" s="23">
        <f ca="1">LOOKUP(Tabelle6[[#This Row],[Challenges]],Rechnungen!$A$3:$A$27,Rechnungen!$AD$3:$AD$27)</f>
        <v>1</v>
      </c>
      <c r="H16" s="23">
        <f ca="1">LOOKUP(Tabelle6[[#This Row],[Challenges]],Rechnungen!$A$3:$A$27,Rechnungen!$AE$3:$AE$27)</f>
        <v>0</v>
      </c>
    </row>
    <row r="17" spans="1:8" x14ac:dyDescent="0.25">
      <c r="A17" t="s">
        <v>100</v>
      </c>
      <c r="B17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7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7" s="24">
        <f ca="1">Tabelle6[[#This Row],[Wkt Crit Success]]+Tabelle6[[#This Row],[Wkt Success2]]</f>
        <v>0</v>
      </c>
      <c r="E17" s="23">
        <f ca="1">LOOKUP(Tabelle6[[#This Row],[Challenges]],Rechnungen!$A$3:$A$27,Rechnungen!$AB$3:$AB$27)</f>
        <v>0</v>
      </c>
      <c r="F17" s="23">
        <f ca="1">LOOKUP(Tabelle6[[#This Row],[Challenges]],Rechnungen!$A$3:$A$27,Rechnungen!$AC$3:$AC$27)</f>
        <v>0</v>
      </c>
      <c r="G17" s="23">
        <f ca="1">LOOKUP(Tabelle6[[#This Row],[Challenges]],Rechnungen!$A$3:$A$27,Rechnungen!$AD$3:$AD$27)</f>
        <v>1</v>
      </c>
      <c r="H17" s="23">
        <f ca="1">LOOKUP(Tabelle6[[#This Row],[Challenges]],Rechnungen!$A$3:$A$27,Rechnungen!$AE$3:$AE$27)</f>
        <v>0</v>
      </c>
    </row>
    <row r="18" spans="1:8" x14ac:dyDescent="0.25">
      <c r="A18" t="s">
        <v>101</v>
      </c>
      <c r="B18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8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8" s="24">
        <f ca="1">Tabelle6[[#This Row],[Wkt Crit Success]]+Tabelle6[[#This Row],[Wkt Success2]]</f>
        <v>0</v>
      </c>
      <c r="E18" s="23">
        <f ca="1">LOOKUP(Tabelle6[[#This Row],[Challenges]],Rechnungen!$A$3:$A$27,Rechnungen!$AB$3:$AB$27)</f>
        <v>0</v>
      </c>
      <c r="F18" s="23">
        <f ca="1">LOOKUP(Tabelle6[[#This Row],[Challenges]],Rechnungen!$A$3:$A$27,Rechnungen!$AC$3:$AC$27)</f>
        <v>0</v>
      </c>
      <c r="G18" s="23">
        <f ca="1">LOOKUP(Tabelle6[[#This Row],[Challenges]],Rechnungen!$A$3:$A$27,Rechnungen!$AD$3:$AD$27)</f>
        <v>1</v>
      </c>
      <c r="H18" s="23">
        <f ca="1">LOOKUP(Tabelle6[[#This Row],[Challenges]],Rechnungen!$A$3:$A$27,Rechnungen!$AE$3:$AE$27)</f>
        <v>0</v>
      </c>
    </row>
    <row r="19" spans="1:8" x14ac:dyDescent="0.25">
      <c r="A19" t="s">
        <v>108</v>
      </c>
      <c r="B19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19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19" s="24">
        <f ca="1">Tabelle6[[#This Row],[Wkt Crit Success]]+Tabelle6[[#This Row],[Wkt Success2]]</f>
        <v>0</v>
      </c>
      <c r="E19" s="23">
        <f ca="1">LOOKUP(Tabelle6[[#This Row],[Challenges]],Rechnungen!$A$3:$A$27,Rechnungen!$AB$3:$AB$27)</f>
        <v>0</v>
      </c>
      <c r="F19" s="23">
        <f ca="1">LOOKUP(Tabelle6[[#This Row],[Challenges]],Rechnungen!$A$3:$A$27,Rechnungen!$AC$3:$AC$27)</f>
        <v>0</v>
      </c>
      <c r="G19" s="23">
        <f ca="1">LOOKUP(Tabelle6[[#This Row],[Challenges]],Rechnungen!$A$3:$A$27,Rechnungen!$AD$3:$AD$27)</f>
        <v>1</v>
      </c>
      <c r="H19" s="23">
        <f ca="1">LOOKUP(Tabelle6[[#This Row],[Challenges]],Rechnungen!$A$3:$A$27,Rechnungen!$AE$3:$AE$27)</f>
        <v>0</v>
      </c>
    </row>
    <row r="20" spans="1:8" x14ac:dyDescent="0.25">
      <c r="A20" s="12" t="s">
        <v>109</v>
      </c>
      <c r="B20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20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20" s="24">
        <f ca="1">Tabelle6[[#This Row],[Wkt Crit Success]]+Tabelle6[[#This Row],[Wkt Success2]]</f>
        <v>0</v>
      </c>
      <c r="E20" s="23">
        <f ca="1">LOOKUP(Tabelle6[[#This Row],[Challenges]],Rechnungen!$A$3:$A$27,Rechnungen!$AB$3:$AB$27)</f>
        <v>0</v>
      </c>
      <c r="F20" s="23">
        <f ca="1">LOOKUP(Tabelle6[[#This Row],[Challenges]],Rechnungen!$A$3:$A$27,Rechnungen!$AC$3:$AC$27)</f>
        <v>0</v>
      </c>
      <c r="G20" s="23">
        <f ca="1">LOOKUP(Tabelle6[[#This Row],[Challenges]],Rechnungen!$A$3:$A$27,Rechnungen!$AD$3:$AD$27)</f>
        <v>1</v>
      </c>
      <c r="H20" s="23">
        <f ca="1">LOOKUP(Tabelle6[[#This Row],[Challenges]],Rechnungen!$A$3:$A$27,Rechnungen!$AE$3:$AE$27)</f>
        <v>0</v>
      </c>
    </row>
    <row r="21" spans="1:8" x14ac:dyDescent="0.25">
      <c r="A21" t="s">
        <v>102</v>
      </c>
      <c r="B21" s="8" t="str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/>
      </c>
      <c r="C21" s="8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>0</v>
      </c>
      <c r="D21" s="24">
        <f ca="1">Tabelle6[[#This Row],[Wkt Crit Success]]+Tabelle6[[#This Row],[Wkt Success2]]</f>
        <v>0.05</v>
      </c>
      <c r="E21" s="23">
        <f ca="1">LOOKUP(Tabelle6[[#This Row],[Challenges]],Rechnungen!$A$3:$A$27,Rechnungen!$AB$3:$AB$27)</f>
        <v>0</v>
      </c>
      <c r="F21" s="23">
        <f ca="1">LOOKUP(Tabelle6[[#This Row],[Challenges]],Rechnungen!$A$3:$A$27,Rechnungen!$AC$3:$AC$27)</f>
        <v>0.05</v>
      </c>
      <c r="G21" s="23">
        <f ca="1">LOOKUP(Tabelle6[[#This Row],[Challenges]],Rechnungen!$A$3:$A$27,Rechnungen!$AD$3:$AD$27)</f>
        <v>0.95</v>
      </c>
      <c r="H21" s="23">
        <f ca="1">LOOKUP(Tabelle6[[#This Row],[Challenges]],Rechnungen!$A$3:$A$27,Rechnungen!$AE$3:$AE$27)</f>
        <v>0</v>
      </c>
    </row>
    <row r="22" spans="1:8" x14ac:dyDescent="0.25">
      <c r="A22" t="s">
        <v>103</v>
      </c>
      <c r="B22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22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22" s="24">
        <f ca="1">Tabelle6[[#This Row],[Wkt Crit Success]]+Tabelle6[[#This Row],[Wkt Success2]]</f>
        <v>0</v>
      </c>
      <c r="E22" s="23">
        <f ca="1">LOOKUP(Tabelle6[[#This Row],[Challenges]],Rechnungen!$A$3:$A$27,Rechnungen!$AB$3:$AB$27)</f>
        <v>0</v>
      </c>
      <c r="F22" s="23">
        <f ca="1">LOOKUP(Tabelle6[[#This Row],[Challenges]],Rechnungen!$A$3:$A$27,Rechnungen!$AC$3:$AC$27)</f>
        <v>0</v>
      </c>
      <c r="G22" s="23">
        <f ca="1">LOOKUP(Tabelle6[[#This Row],[Challenges]],Rechnungen!$A$3:$A$27,Rechnungen!$AD$3:$AD$27)</f>
        <v>1</v>
      </c>
      <c r="H22" s="23">
        <f ca="1">LOOKUP(Tabelle6[[#This Row],[Challenges]],Rechnungen!$A$3:$A$27,Rechnungen!$AE$3:$AE$27)</f>
        <v>0</v>
      </c>
    </row>
    <row r="23" spans="1:8" x14ac:dyDescent="0.25">
      <c r="A23" t="s">
        <v>104</v>
      </c>
      <c r="B23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23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23" s="24">
        <f ca="1">Tabelle6[[#This Row],[Wkt Crit Success]]+Tabelle6[[#This Row],[Wkt Success2]]</f>
        <v>0</v>
      </c>
      <c r="E23" s="23">
        <f ca="1">LOOKUP(Tabelle6[[#This Row],[Challenges]],Rechnungen!$A$3:$A$27,Rechnungen!$AB$3:$AB$27)</f>
        <v>0</v>
      </c>
      <c r="F23" s="23">
        <f ca="1">LOOKUP(Tabelle6[[#This Row],[Challenges]],Rechnungen!$A$3:$A$27,Rechnungen!$AC$3:$AC$27)</f>
        <v>0</v>
      </c>
      <c r="G23" s="23">
        <f ca="1">LOOKUP(Tabelle6[[#This Row],[Challenges]],Rechnungen!$A$3:$A$27,Rechnungen!$AD$3:$AD$27)</f>
        <v>1</v>
      </c>
      <c r="H23" s="23">
        <f ca="1">LOOKUP(Tabelle6[[#This Row],[Challenges]],Rechnungen!$A$3:$A$27,Rechnungen!$AE$3:$AE$27)</f>
        <v>0</v>
      </c>
    </row>
    <row r="24" spans="1:8" x14ac:dyDescent="0.25">
      <c r="A24" s="31" t="s">
        <v>105</v>
      </c>
      <c r="B24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24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24" s="24">
        <f ca="1">Tabelle6[[#This Row],[Wkt Crit Success]]+Tabelle6[[#This Row],[Wkt Success2]]</f>
        <v>0</v>
      </c>
      <c r="E24" s="23">
        <f ca="1">LOOKUP(Tabelle6[[#This Row],[Challenges]],Rechnungen!$A$3:$A$27,Rechnungen!$AB$3:$AB$27)</f>
        <v>0</v>
      </c>
      <c r="F24" s="23">
        <f ca="1">LOOKUP(Tabelle6[[#This Row],[Challenges]],Rechnungen!$A$3:$A$27,Rechnungen!$AC$3:$AC$27)</f>
        <v>0</v>
      </c>
      <c r="G24" s="23">
        <f ca="1">LOOKUP(Tabelle6[[#This Row],[Challenges]],Rechnungen!$A$3:$A$27,Rechnungen!$AD$3:$AD$27)</f>
        <v>1</v>
      </c>
      <c r="H24" s="23">
        <f ca="1">LOOKUP(Tabelle6[[#This Row],[Challenges]],Rechnungen!$A$3:$A$27,Rechnungen!$AE$3:$AE$27)</f>
        <v>0</v>
      </c>
    </row>
    <row r="25" spans="1:8" x14ac:dyDescent="0.25">
      <c r="A25" t="s">
        <v>106</v>
      </c>
      <c r="B25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25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25" s="24">
        <f ca="1">Tabelle6[[#This Row],[Wkt Crit Success]]+Tabelle6[[#This Row],[Wkt Success2]]</f>
        <v>0</v>
      </c>
      <c r="E25" s="23">
        <f ca="1">LOOKUP(Tabelle6[[#This Row],[Challenges]],Rechnungen!$A$3:$A$27,Rechnungen!$AB$3:$AB$27)</f>
        <v>0</v>
      </c>
      <c r="F25" s="23">
        <f ca="1">LOOKUP(Tabelle6[[#This Row],[Challenges]],Rechnungen!$A$3:$A$27,Rechnungen!$AC$3:$AC$27)</f>
        <v>0</v>
      </c>
      <c r="G25" s="23">
        <f ca="1">LOOKUP(Tabelle6[[#This Row],[Challenges]],Rechnungen!$A$3:$A$27,Rechnungen!$AD$3:$AD$27)</f>
        <v>1</v>
      </c>
      <c r="H25" s="23">
        <f ca="1">LOOKUP(Tabelle6[[#This Row],[Challenges]],Rechnungen!$A$3:$A$27,Rechnungen!$AE$3:$AE$27)</f>
        <v>0</v>
      </c>
    </row>
    <row r="26" spans="1:8" x14ac:dyDescent="0.25">
      <c r="A26" t="s">
        <v>107</v>
      </c>
      <c r="B26" s="8">
        <f ca="1">LOOKUP(Tabelle6[[#This Row],[Challenges]],Rechnungen!$A$3:$A$27,IF(LOOKUP(Tabelle6[[#This Row],[Challenges]],Rechnungen!$A$3:$A$27,Rechnungen!$AA$3:$AA$27)="alt1+best2",Rechnungen!$I$3:$I$27,IF(LOOKUP(Tabelle6[[#This Row],[Challenges]],Rechnungen!$A$3:$A$27,Rechnungen!$AA$3:$AA$27)="best2",Rechnungen!$AF$3:$AF$27,Rechnungen!$F$3:$F$27)))</f>
        <v>0</v>
      </c>
      <c r="C26" s="8" t="str">
        <f ca="1">LOOKUP(Tabelle6[[#This Row],[Challenges]],Rechnungen!$A$3:$A$27,IF(LOOKUP(Tabelle6[[#This Row],[Challenges]],Rechnungen!$A$3:$A$27,Rechnungen!$AA$3:$AA$27)="best1+alt2",Rechnungen!$J$3:$J$27,IF(LOOKUP(Tabelle6[[#This Row],[Challenges]],Rechnungen!$A$3:$A$27,Rechnungen!$AA$3:$AA$27)="best1",Rechnungen!$AF$3:$AF$27,Rechnungen!$G$3:$G$27)))</f>
        <v/>
      </c>
      <c r="D26" s="24">
        <f ca="1">Tabelle6[[#This Row],[Wkt Crit Success]]+Tabelle6[[#This Row],[Wkt Success2]]</f>
        <v>0</v>
      </c>
      <c r="E26" s="23">
        <f ca="1">LOOKUP(Tabelle6[[#This Row],[Challenges]],Rechnungen!$A$3:$A$27,Rechnungen!$AB$3:$AB$27)</f>
        <v>0</v>
      </c>
      <c r="F26" s="23">
        <f ca="1">LOOKUP(Tabelle6[[#This Row],[Challenges]],Rechnungen!$A$3:$A$27,Rechnungen!$AC$3:$AC$27)</f>
        <v>0</v>
      </c>
      <c r="G26" s="23">
        <f ca="1">LOOKUP(Tabelle6[[#This Row],[Challenges]],Rechnungen!$A$3:$A$27,Rechnungen!$AD$3:$AD$27)</f>
        <v>1</v>
      </c>
      <c r="H26" s="23">
        <f ca="1">LOOKUP(Tabelle6[[#This Row],[Challenges]],Rechnungen!$A$3:$A$27,Rechnungen!$AE$3:$AE$27)</f>
        <v>0</v>
      </c>
    </row>
    <row r="27" spans="1:8" x14ac:dyDescent="0.25">
      <c r="A27" s="30"/>
      <c r="B27" s="7"/>
      <c r="C27" s="7"/>
      <c r="D27" s="27">
        <f ca="1">SUM(Tabelle6[Wkt insg. Success])/25</f>
        <v>4.8000000000000008E-2</v>
      </c>
      <c r="E27" s="27">
        <f ca="1">SUM(Tabelle6[Wkt Crit Success])/25</f>
        <v>0</v>
      </c>
      <c r="F27" s="27">
        <f ca="1">SUM(Tabelle6[Wkt Success2])/25</f>
        <v>4.8000000000000008E-2</v>
      </c>
      <c r="G27" s="28">
        <f ca="1">SUM(Tabelle6[Wkt Fail])/25</f>
        <v>0.95200000000000007</v>
      </c>
      <c r="H27" s="28">
        <f ca="1">SUM(Tabelle6[Wkt Crit Fail])/25</f>
        <v>0</v>
      </c>
    </row>
    <row r="28" spans="1:8" x14ac:dyDescent="0.25">
      <c r="A28" t="s">
        <v>79</v>
      </c>
      <c r="B28" s="22">
        <v>0.6</v>
      </c>
      <c r="D28" s="29">
        <f ca="1">Tabelle6[[#Totals],[Wkt Fail]]+Tabelle6[[#Totals],[Wkt Crit Fail]]</f>
        <v>0.95200000000000007</v>
      </c>
    </row>
    <row r="29" spans="1:8" x14ac:dyDescent="0.25">
      <c r="A29" t="s">
        <v>81</v>
      </c>
      <c r="B29" t="s">
        <v>82</v>
      </c>
    </row>
  </sheetData>
  <sheetProtection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27"/>
  <sheetViews>
    <sheetView zoomScale="115" zoomScaleNormal="115" workbookViewId="0">
      <selection activeCell="B11" sqref="B11"/>
    </sheetView>
  </sheetViews>
  <sheetFormatPr baseColWidth="10" defaultRowHeight="15" x14ac:dyDescent="0.25"/>
  <cols>
    <col min="1" max="1" width="34.85546875" customWidth="1"/>
    <col min="2" max="2" width="25.42578125" customWidth="1"/>
  </cols>
  <sheetData>
    <row r="1" spans="1:9" x14ac:dyDescent="0.25">
      <c r="C1" t="s">
        <v>85</v>
      </c>
      <c r="D1">
        <v>12</v>
      </c>
    </row>
    <row r="2" spans="1:9" x14ac:dyDescent="0.25">
      <c r="A2" s="9" t="s">
        <v>0</v>
      </c>
      <c r="B2" s="10" t="s">
        <v>34</v>
      </c>
      <c r="C2" s="10" t="s">
        <v>36</v>
      </c>
      <c r="D2" s="10" t="s">
        <v>37</v>
      </c>
      <c r="E2" s="10" t="s">
        <v>64</v>
      </c>
      <c r="F2" s="10" t="s">
        <v>35</v>
      </c>
      <c r="G2" s="10" t="s">
        <v>38</v>
      </c>
      <c r="H2" s="11" t="s">
        <v>39</v>
      </c>
      <c r="I2" s="4" t="s">
        <v>63</v>
      </c>
    </row>
    <row r="3" spans="1:9" x14ac:dyDescent="0.25">
      <c r="A3" t="s">
        <v>86</v>
      </c>
      <c r="B3" s="5" t="s">
        <v>5</v>
      </c>
      <c r="C3" s="5">
        <v>25</v>
      </c>
      <c r="D3" s="5" t="s">
        <v>7</v>
      </c>
      <c r="E3" s="5">
        <f>IF(D3="ja",C3+$D$1,C3)</f>
        <v>25</v>
      </c>
      <c r="F3" s="5" t="s">
        <v>2</v>
      </c>
      <c r="G3" s="5">
        <v>15</v>
      </c>
      <c r="H3" s="13" t="s">
        <v>6</v>
      </c>
      <c r="I3">
        <f>IF(H3="ja",G3+$D$1,G3)</f>
        <v>27</v>
      </c>
    </row>
    <row r="4" spans="1:9" x14ac:dyDescent="0.25">
      <c r="A4" t="s">
        <v>87</v>
      </c>
      <c r="B4" s="14" t="s">
        <v>53</v>
      </c>
      <c r="C4" s="14">
        <v>20</v>
      </c>
      <c r="D4" s="14" t="s">
        <v>6</v>
      </c>
      <c r="E4" s="5">
        <f t="shared" ref="E4:E27" si="0">IF(D4="ja",C4+$D$1,C4)</f>
        <v>32</v>
      </c>
      <c r="F4" s="14" t="s">
        <v>8</v>
      </c>
      <c r="G4" s="14">
        <v>25</v>
      </c>
      <c r="H4" s="15" t="s">
        <v>7</v>
      </c>
      <c r="I4">
        <f t="shared" ref="I4:I27" si="1">IF(H4="ja",G4+$D$1,G4)</f>
        <v>25</v>
      </c>
    </row>
    <row r="5" spans="1:9" x14ac:dyDescent="0.25">
      <c r="A5" s="12" t="s">
        <v>3</v>
      </c>
      <c r="B5" s="5" t="s">
        <v>40</v>
      </c>
      <c r="C5" s="5">
        <v>1</v>
      </c>
      <c r="D5" s="5" t="s">
        <v>7</v>
      </c>
      <c r="E5" s="5">
        <f t="shared" si="0"/>
        <v>1</v>
      </c>
      <c r="F5" s="5" t="s">
        <v>4</v>
      </c>
      <c r="G5" s="5">
        <v>15</v>
      </c>
      <c r="H5" s="13" t="s">
        <v>6</v>
      </c>
      <c r="I5">
        <f t="shared" si="1"/>
        <v>27</v>
      </c>
    </row>
    <row r="6" spans="1:9" x14ac:dyDescent="0.25">
      <c r="A6" t="s">
        <v>88</v>
      </c>
      <c r="B6" s="14" t="s">
        <v>9</v>
      </c>
      <c r="C6" s="14">
        <v>15</v>
      </c>
      <c r="D6" s="14" t="s">
        <v>6</v>
      </c>
      <c r="E6" s="5">
        <f t="shared" si="0"/>
        <v>27</v>
      </c>
      <c r="F6" s="14" t="s">
        <v>2</v>
      </c>
      <c r="G6" s="14">
        <v>20</v>
      </c>
      <c r="H6" s="15" t="s">
        <v>6</v>
      </c>
      <c r="I6">
        <f t="shared" si="1"/>
        <v>32</v>
      </c>
    </row>
    <row r="7" spans="1:9" x14ac:dyDescent="0.25">
      <c r="A7" t="s">
        <v>89</v>
      </c>
      <c r="B7" s="5" t="s">
        <v>10</v>
      </c>
      <c r="C7" s="5">
        <v>20</v>
      </c>
      <c r="D7" s="5" t="s">
        <v>7</v>
      </c>
      <c r="E7" s="5">
        <f t="shared" si="0"/>
        <v>20</v>
      </c>
      <c r="F7" s="5" t="s">
        <v>4</v>
      </c>
      <c r="G7" s="5">
        <v>15</v>
      </c>
      <c r="H7" s="13" t="s">
        <v>6</v>
      </c>
      <c r="I7">
        <f t="shared" si="1"/>
        <v>27</v>
      </c>
    </row>
    <row r="8" spans="1:9" x14ac:dyDescent="0.25">
      <c r="A8" t="s">
        <v>90</v>
      </c>
      <c r="B8" s="14" t="s">
        <v>11</v>
      </c>
      <c r="C8" s="14">
        <v>15</v>
      </c>
      <c r="D8" s="14" t="s">
        <v>6</v>
      </c>
      <c r="E8" s="5">
        <f t="shared" si="0"/>
        <v>27</v>
      </c>
      <c r="F8" s="14" t="s">
        <v>12</v>
      </c>
      <c r="G8" s="14">
        <v>20</v>
      </c>
      <c r="H8" s="15" t="s">
        <v>7</v>
      </c>
      <c r="I8">
        <f t="shared" si="1"/>
        <v>20</v>
      </c>
    </row>
    <row r="9" spans="1:9" x14ac:dyDescent="0.25">
      <c r="A9" t="s">
        <v>91</v>
      </c>
      <c r="B9" s="5" t="s">
        <v>14</v>
      </c>
      <c r="C9" s="5">
        <v>20</v>
      </c>
      <c r="D9" s="5" t="s">
        <v>6</v>
      </c>
      <c r="E9" s="5">
        <f t="shared" si="0"/>
        <v>32</v>
      </c>
      <c r="F9" s="5" t="s">
        <v>13</v>
      </c>
      <c r="G9" s="5">
        <v>20</v>
      </c>
      <c r="H9" s="13" t="s">
        <v>6</v>
      </c>
      <c r="I9">
        <f t="shared" si="1"/>
        <v>32</v>
      </c>
    </row>
    <row r="10" spans="1:9" x14ac:dyDescent="0.25">
      <c r="A10" t="s">
        <v>92</v>
      </c>
      <c r="B10" s="14" t="s">
        <v>53</v>
      </c>
      <c r="C10" s="14">
        <v>20</v>
      </c>
      <c r="D10" s="14" t="s">
        <v>6</v>
      </c>
      <c r="E10" s="5">
        <f t="shared" si="0"/>
        <v>32</v>
      </c>
      <c r="F10" s="14" t="s">
        <v>15</v>
      </c>
      <c r="G10" s="14">
        <v>20</v>
      </c>
      <c r="H10" s="15" t="s">
        <v>6</v>
      </c>
      <c r="I10">
        <f t="shared" si="1"/>
        <v>32</v>
      </c>
    </row>
    <row r="11" spans="1:9" x14ac:dyDescent="0.25">
      <c r="A11" t="s">
        <v>93</v>
      </c>
      <c r="B11" s="5" t="s">
        <v>16</v>
      </c>
      <c r="C11" s="5">
        <v>20</v>
      </c>
      <c r="D11" s="5" t="s">
        <v>7</v>
      </c>
      <c r="E11" s="5">
        <f t="shared" si="0"/>
        <v>20</v>
      </c>
      <c r="F11" s="5" t="s">
        <v>2</v>
      </c>
      <c r="G11" s="5">
        <v>20</v>
      </c>
      <c r="H11" s="13" t="s">
        <v>6</v>
      </c>
      <c r="I11">
        <f t="shared" si="1"/>
        <v>32</v>
      </c>
    </row>
    <row r="12" spans="1:9" x14ac:dyDescent="0.25">
      <c r="A12" t="s">
        <v>94</v>
      </c>
      <c r="B12" s="14" t="s">
        <v>53</v>
      </c>
      <c r="C12" s="14">
        <v>15</v>
      </c>
      <c r="D12" s="14" t="s">
        <v>6</v>
      </c>
      <c r="E12" s="5">
        <f t="shared" si="0"/>
        <v>27</v>
      </c>
      <c r="F12" s="14" t="s">
        <v>17</v>
      </c>
      <c r="G12" s="14">
        <v>15</v>
      </c>
      <c r="H12" s="15" t="s">
        <v>6</v>
      </c>
      <c r="I12">
        <f t="shared" si="1"/>
        <v>27</v>
      </c>
    </row>
    <row r="13" spans="1:9" x14ac:dyDescent="0.25">
      <c r="A13" t="s">
        <v>95</v>
      </c>
      <c r="B13" s="5" t="s">
        <v>18</v>
      </c>
      <c r="C13" s="5">
        <v>25</v>
      </c>
      <c r="D13" s="5" t="s">
        <v>7</v>
      </c>
      <c r="E13" s="5">
        <f t="shared" si="0"/>
        <v>25</v>
      </c>
      <c r="F13" s="5" t="s">
        <v>2</v>
      </c>
      <c r="G13" s="5">
        <v>20</v>
      </c>
      <c r="H13" s="13" t="s">
        <v>6</v>
      </c>
      <c r="I13">
        <f t="shared" si="1"/>
        <v>32</v>
      </c>
    </row>
    <row r="14" spans="1:9" x14ac:dyDescent="0.25">
      <c r="A14" t="s">
        <v>96</v>
      </c>
      <c r="B14" s="14" t="s">
        <v>19</v>
      </c>
      <c r="C14" s="14">
        <v>25</v>
      </c>
      <c r="D14" s="14" t="s">
        <v>7</v>
      </c>
      <c r="E14" s="5">
        <f t="shared" si="0"/>
        <v>25</v>
      </c>
      <c r="F14" s="14" t="s">
        <v>17</v>
      </c>
      <c r="G14" s="14">
        <v>30</v>
      </c>
      <c r="H14" s="15" t="s">
        <v>7</v>
      </c>
      <c r="I14">
        <f t="shared" si="1"/>
        <v>30</v>
      </c>
    </row>
    <row r="15" spans="1:9" x14ac:dyDescent="0.25">
      <c r="A15" t="s">
        <v>97</v>
      </c>
      <c r="B15" s="5" t="s">
        <v>20</v>
      </c>
      <c r="C15" s="5">
        <v>25</v>
      </c>
      <c r="D15" s="5" t="s">
        <v>7</v>
      </c>
      <c r="E15" s="5">
        <f t="shared" si="0"/>
        <v>25</v>
      </c>
      <c r="F15" s="5" t="s">
        <v>21</v>
      </c>
      <c r="G15" s="5">
        <v>30</v>
      </c>
      <c r="H15" s="13" t="s">
        <v>7</v>
      </c>
      <c r="I15">
        <f t="shared" si="1"/>
        <v>30</v>
      </c>
    </row>
    <row r="16" spans="1:9" x14ac:dyDescent="0.25">
      <c r="A16" t="s">
        <v>98</v>
      </c>
      <c r="B16" s="14" t="s">
        <v>22</v>
      </c>
      <c r="C16" s="14">
        <v>30</v>
      </c>
      <c r="D16" s="14" t="s">
        <v>7</v>
      </c>
      <c r="E16" s="5">
        <f t="shared" si="0"/>
        <v>30</v>
      </c>
      <c r="F16" s="14" t="s">
        <v>2</v>
      </c>
      <c r="G16" s="14">
        <v>15</v>
      </c>
      <c r="H16" s="15" t="s">
        <v>6</v>
      </c>
      <c r="I16">
        <f t="shared" si="1"/>
        <v>27</v>
      </c>
    </row>
    <row r="17" spans="1:9" x14ac:dyDescent="0.25">
      <c r="A17" t="s">
        <v>99</v>
      </c>
      <c r="B17" s="5" t="s">
        <v>12</v>
      </c>
      <c r="C17" s="5">
        <v>20</v>
      </c>
      <c r="D17" s="5" t="s">
        <v>6</v>
      </c>
      <c r="E17" s="5">
        <f t="shared" si="0"/>
        <v>32</v>
      </c>
      <c r="F17" s="5" t="s">
        <v>23</v>
      </c>
      <c r="G17" s="5">
        <v>25</v>
      </c>
      <c r="H17" s="13" t="s">
        <v>7</v>
      </c>
      <c r="I17">
        <f t="shared" si="1"/>
        <v>25</v>
      </c>
    </row>
    <row r="18" spans="1:9" x14ac:dyDescent="0.25">
      <c r="A18" t="s">
        <v>100</v>
      </c>
      <c r="B18" s="14" t="s">
        <v>9</v>
      </c>
      <c r="C18" s="14">
        <v>20</v>
      </c>
      <c r="D18" s="14" t="s">
        <v>6</v>
      </c>
      <c r="E18" s="5">
        <f t="shared" si="0"/>
        <v>32</v>
      </c>
      <c r="F18" s="14" t="s">
        <v>24</v>
      </c>
      <c r="G18" s="14">
        <v>25</v>
      </c>
      <c r="H18" s="15" t="s">
        <v>7</v>
      </c>
      <c r="I18">
        <f t="shared" si="1"/>
        <v>25</v>
      </c>
    </row>
    <row r="19" spans="1:9" x14ac:dyDescent="0.25">
      <c r="A19" t="s">
        <v>101</v>
      </c>
      <c r="B19" s="5" t="s">
        <v>13</v>
      </c>
      <c r="C19" s="5">
        <v>15</v>
      </c>
      <c r="D19" s="5" t="s">
        <v>6</v>
      </c>
      <c r="E19" s="5">
        <f t="shared" si="0"/>
        <v>27</v>
      </c>
      <c r="F19" s="5" t="s">
        <v>2</v>
      </c>
      <c r="G19" s="5">
        <v>15</v>
      </c>
      <c r="H19" s="13" t="s">
        <v>6</v>
      </c>
      <c r="I19">
        <f t="shared" si="1"/>
        <v>27</v>
      </c>
    </row>
    <row r="20" spans="1:9" x14ac:dyDescent="0.25">
      <c r="A20" t="s">
        <v>108</v>
      </c>
      <c r="B20" s="14" t="s">
        <v>12</v>
      </c>
      <c r="C20" s="14">
        <v>20</v>
      </c>
      <c r="D20" s="14" t="s">
        <v>6</v>
      </c>
      <c r="E20" s="5">
        <f t="shared" si="0"/>
        <v>32</v>
      </c>
      <c r="F20" s="14" t="s">
        <v>25</v>
      </c>
      <c r="G20" s="14">
        <v>25</v>
      </c>
      <c r="H20" s="15" t="s">
        <v>7</v>
      </c>
      <c r="I20">
        <f t="shared" si="1"/>
        <v>25</v>
      </c>
    </row>
    <row r="21" spans="1:9" x14ac:dyDescent="0.25">
      <c r="A21" s="12" t="s">
        <v>109</v>
      </c>
      <c r="B21" s="5" t="s">
        <v>53</v>
      </c>
      <c r="C21" s="5">
        <v>15</v>
      </c>
      <c r="D21" s="5" t="s">
        <v>6</v>
      </c>
      <c r="E21" s="5">
        <f t="shared" si="0"/>
        <v>27</v>
      </c>
      <c r="F21" s="5" t="s">
        <v>2</v>
      </c>
      <c r="G21" s="5">
        <v>15</v>
      </c>
      <c r="H21" s="13" t="s">
        <v>6</v>
      </c>
      <c r="I21">
        <f t="shared" si="1"/>
        <v>27</v>
      </c>
    </row>
    <row r="22" spans="1:9" x14ac:dyDescent="0.25">
      <c r="A22" t="s">
        <v>102</v>
      </c>
      <c r="B22" s="14" t="s">
        <v>10</v>
      </c>
      <c r="C22" s="14">
        <v>20</v>
      </c>
      <c r="D22" s="14" t="s">
        <v>7</v>
      </c>
      <c r="E22" s="5">
        <f t="shared" si="0"/>
        <v>20</v>
      </c>
      <c r="F22" s="14" t="s">
        <v>26</v>
      </c>
      <c r="G22" s="14">
        <v>30</v>
      </c>
      <c r="H22" s="15" t="s">
        <v>7</v>
      </c>
      <c r="I22">
        <f t="shared" si="1"/>
        <v>30</v>
      </c>
    </row>
    <row r="23" spans="1:9" x14ac:dyDescent="0.25">
      <c r="A23" t="s">
        <v>103</v>
      </c>
      <c r="B23" s="5" t="s">
        <v>33</v>
      </c>
      <c r="C23" s="5">
        <v>30</v>
      </c>
      <c r="D23" s="5" t="s">
        <v>7</v>
      </c>
      <c r="E23" s="5">
        <f t="shared" si="0"/>
        <v>30</v>
      </c>
      <c r="F23" s="5" t="s">
        <v>27</v>
      </c>
      <c r="G23" s="5">
        <v>25</v>
      </c>
      <c r="H23" s="13" t="s">
        <v>7</v>
      </c>
      <c r="I23">
        <f t="shared" si="1"/>
        <v>25</v>
      </c>
    </row>
    <row r="24" spans="1:9" x14ac:dyDescent="0.25">
      <c r="A24" t="s">
        <v>104</v>
      </c>
      <c r="B24" s="14" t="s">
        <v>28</v>
      </c>
      <c r="C24" s="14">
        <v>25</v>
      </c>
      <c r="D24" s="14" t="s">
        <v>7</v>
      </c>
      <c r="E24" s="5">
        <f t="shared" si="0"/>
        <v>25</v>
      </c>
      <c r="F24" s="14" t="s">
        <v>4</v>
      </c>
      <c r="G24" s="14">
        <v>20</v>
      </c>
      <c r="H24" s="15" t="s">
        <v>6</v>
      </c>
      <c r="I24">
        <f t="shared" si="1"/>
        <v>32</v>
      </c>
    </row>
    <row r="25" spans="1:9" x14ac:dyDescent="0.25">
      <c r="A25" t="s">
        <v>105</v>
      </c>
      <c r="B25" s="5" t="s">
        <v>10</v>
      </c>
      <c r="C25" s="5">
        <v>15</v>
      </c>
      <c r="D25" s="5" t="s">
        <v>6</v>
      </c>
      <c r="E25" s="5">
        <f t="shared" si="0"/>
        <v>27</v>
      </c>
      <c r="F25" s="5" t="s">
        <v>4</v>
      </c>
      <c r="G25" s="5">
        <v>20</v>
      </c>
      <c r="H25" s="13" t="s">
        <v>6</v>
      </c>
      <c r="I25">
        <f t="shared" si="1"/>
        <v>32</v>
      </c>
    </row>
    <row r="26" spans="1:9" x14ac:dyDescent="0.25">
      <c r="A26" t="s">
        <v>106</v>
      </c>
      <c r="B26" s="14" t="s">
        <v>53</v>
      </c>
      <c r="C26" s="14">
        <v>20</v>
      </c>
      <c r="D26" s="14" t="s">
        <v>6</v>
      </c>
      <c r="E26" s="5">
        <f t="shared" si="0"/>
        <v>32</v>
      </c>
      <c r="F26" s="14" t="s">
        <v>29</v>
      </c>
      <c r="G26" s="14">
        <v>30</v>
      </c>
      <c r="H26" s="15" t="s">
        <v>7</v>
      </c>
      <c r="I26">
        <f t="shared" si="1"/>
        <v>30</v>
      </c>
    </row>
    <row r="27" spans="1:9" x14ac:dyDescent="0.25">
      <c r="A27" t="s">
        <v>107</v>
      </c>
      <c r="B27" s="1" t="s">
        <v>9</v>
      </c>
      <c r="C27" s="1">
        <v>20</v>
      </c>
      <c r="D27" s="1" t="s">
        <v>6</v>
      </c>
      <c r="E27" s="5">
        <f t="shared" si="0"/>
        <v>32</v>
      </c>
      <c r="F27" s="1" t="s">
        <v>2</v>
      </c>
      <c r="G27" s="1">
        <v>20</v>
      </c>
      <c r="H27" s="2" t="s">
        <v>6</v>
      </c>
      <c r="I27">
        <f t="shared" si="1"/>
        <v>32</v>
      </c>
    </row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S29"/>
  <sheetViews>
    <sheetView workbookViewId="0">
      <selection activeCell="D21" sqref="D21"/>
    </sheetView>
  </sheetViews>
  <sheetFormatPr baseColWidth="10" defaultRowHeight="15" x14ac:dyDescent="0.25"/>
  <cols>
    <col min="2" max="5" width="20.28515625" customWidth="1"/>
    <col min="12" max="12" width="36" customWidth="1"/>
    <col min="13" max="14" width="17.42578125" customWidth="1"/>
  </cols>
  <sheetData>
    <row r="1" spans="1:19" x14ac:dyDescent="0.25">
      <c r="A1" t="s">
        <v>56</v>
      </c>
      <c r="B1" s="17" t="s">
        <v>1</v>
      </c>
      <c r="C1" s="17" t="str">
        <f>IF(Front!$B$3="Name PC 1","",Front!B3)</f>
        <v/>
      </c>
      <c r="D1" s="17" t="str">
        <f>IF(Front!$C$3="Name PC 2","",Front!C3)</f>
        <v/>
      </c>
      <c r="E1" s="17" t="str">
        <f>IF(Front!$D$3="Name PC 3","",Front!D3)</f>
        <v/>
      </c>
      <c r="F1" s="17" t="str">
        <f>IF(Front!$E$3="Name PC 4","",Front!E3)</f>
        <v/>
      </c>
      <c r="G1" s="17" t="str">
        <f>IF(Front!$F$3="Name PC 5","",Front!F3)</f>
        <v/>
      </c>
      <c r="H1" s="17" t="str">
        <f>IF(Front!$G$3="Name PC 6","",Front!G3)</f>
        <v/>
      </c>
      <c r="I1" s="17" t="s">
        <v>44</v>
      </c>
      <c r="J1" s="17" t="s">
        <v>45</v>
      </c>
      <c r="K1" s="6"/>
      <c r="L1" s="25"/>
    </row>
    <row r="2" spans="1:19" x14ac:dyDescent="0.25">
      <c r="A2">
        <v>2</v>
      </c>
      <c r="B2" s="18" t="s">
        <v>40</v>
      </c>
      <c r="C2" s="18">
        <f>Front!B4</f>
        <v>0</v>
      </c>
      <c r="D2" s="18">
        <f>Front!C4</f>
        <v>0</v>
      </c>
      <c r="E2" s="18">
        <f>Front!D4</f>
        <v>0</v>
      </c>
      <c r="F2" s="18">
        <f>Front!E4</f>
        <v>0</v>
      </c>
      <c r="G2" s="17" t="str">
        <f>IF(Front!$F$3="Name PC 5","",Front!F4)</f>
        <v/>
      </c>
      <c r="H2" s="17" t="str">
        <f>IF(Front!$G$3="Name PC 6","",Front!G4)</f>
        <v/>
      </c>
      <c r="I2" s="18" t="str">
        <f>INDEX('Skill Liste'!$C$1:$H$1,MATCH(MAX('Skill Liste'!$C2:$H2), 'Skill Liste'!$C2:$H2, 0))</f>
        <v/>
      </c>
      <c r="J2" s="18" t="str">
        <f>INDEX('Skill Liste'!$C$1:$H$1,MATCH(LARGE('Skill Liste'!$C2:$H2,2), 'Skill Liste'!$C2:$H2, 0))</f>
        <v/>
      </c>
      <c r="K2" s="3"/>
      <c r="R2" t="s">
        <v>42</v>
      </c>
      <c r="S2" t="s">
        <v>43</v>
      </c>
    </row>
    <row r="3" spans="1:19" x14ac:dyDescent="0.25">
      <c r="A3">
        <v>3</v>
      </c>
      <c r="B3" s="18" t="s">
        <v>20</v>
      </c>
      <c r="C3" s="18">
        <f>Front!B5</f>
        <v>0</v>
      </c>
      <c r="D3" s="18">
        <f>Front!C5</f>
        <v>0</v>
      </c>
      <c r="E3" s="18">
        <f>Front!D5</f>
        <v>0</v>
      </c>
      <c r="F3" s="18">
        <f>Front!E5</f>
        <v>0</v>
      </c>
      <c r="G3" s="17" t="str">
        <f>IF(Front!$F$3="Name PC 5","",Front!F5)</f>
        <v/>
      </c>
      <c r="H3" s="17" t="str">
        <f>IF(Front!$G$3="Name PC 6","",Front!G5)</f>
        <v/>
      </c>
      <c r="I3" s="18" t="str">
        <f>INDEX('Skill Liste'!$C$1:$H$1,MATCH(MAX('Skill Liste'!$C3:$H3), 'Skill Liste'!$C3:$H3, 0))</f>
        <v/>
      </c>
      <c r="J3" s="18" t="str">
        <f>INDEX('Skill Liste'!$C$1:$H$1,MATCH(LARGE('Skill Liste'!$C3:$H3,2), 'Skill Liste'!$C3:$H3, 0))</f>
        <v/>
      </c>
      <c r="K3" s="3"/>
    </row>
    <row r="4" spans="1:19" x14ac:dyDescent="0.25">
      <c r="A4">
        <v>4</v>
      </c>
      <c r="B4" s="18" t="s">
        <v>14</v>
      </c>
      <c r="C4" s="18">
        <f>Front!B6</f>
        <v>0</v>
      </c>
      <c r="D4" s="18">
        <f>Front!C6</f>
        <v>0</v>
      </c>
      <c r="E4" s="18">
        <f>Front!D6</f>
        <v>0</v>
      </c>
      <c r="F4" s="18">
        <f>Front!E6</f>
        <v>0</v>
      </c>
      <c r="G4" s="17" t="str">
        <f>IF(Front!$F$3="Name PC 5","",Front!F6)</f>
        <v/>
      </c>
      <c r="H4" s="17" t="str">
        <f>IF(Front!$G$3="Name PC 6","",Front!G6)</f>
        <v/>
      </c>
      <c r="I4" s="18" t="str">
        <f>INDEX('Skill Liste'!$C$1:$H$1,MATCH(MAX('Skill Liste'!$C4:$H4), 'Skill Liste'!$C4:$H4, 0))</f>
        <v/>
      </c>
      <c r="J4" s="18" t="str">
        <f>INDEX('Skill Liste'!$C$1:$H$1,MATCH(LARGE('Skill Liste'!$C4:$H4,2), 'Skill Liste'!$C4:$H4, 0))</f>
        <v/>
      </c>
      <c r="K4" s="3"/>
    </row>
    <row r="5" spans="1:19" x14ac:dyDescent="0.25">
      <c r="A5">
        <v>5</v>
      </c>
      <c r="B5" s="18" t="s">
        <v>11</v>
      </c>
      <c r="C5" s="18">
        <f>Front!B7</f>
        <v>0</v>
      </c>
      <c r="D5" s="18">
        <f>Front!C7</f>
        <v>0</v>
      </c>
      <c r="E5" s="18">
        <f>Front!D7</f>
        <v>0</v>
      </c>
      <c r="F5" s="18">
        <f>Front!E7</f>
        <v>0</v>
      </c>
      <c r="G5" s="17" t="str">
        <f>IF(Front!$F$3="Name PC 5","",Front!F7)</f>
        <v/>
      </c>
      <c r="H5" s="17" t="str">
        <f>IF(Front!$G$3="Name PC 6","",Front!G7)</f>
        <v/>
      </c>
      <c r="I5" s="18" t="str">
        <f>INDEX('Skill Liste'!$C$1:$H$1,MATCH(MAX('Skill Liste'!$C5:$H5), 'Skill Liste'!$C5:$H5, 0))</f>
        <v/>
      </c>
      <c r="J5" s="18" t="str">
        <f>INDEX('Skill Liste'!$C$1:$H$1,MATCH(LARGE('Skill Liste'!$C5:$H5,2), 'Skill Liste'!$C5:$H5, 0))</f>
        <v/>
      </c>
      <c r="K5" s="3"/>
    </row>
    <row r="6" spans="1:19" x14ac:dyDescent="0.25">
      <c r="A6">
        <v>6</v>
      </c>
      <c r="B6" s="18" t="s">
        <v>33</v>
      </c>
      <c r="C6" s="18">
        <f>Front!B8</f>
        <v>0</v>
      </c>
      <c r="D6" s="18">
        <f>Front!C8</f>
        <v>0</v>
      </c>
      <c r="E6" s="18">
        <f>Front!D8</f>
        <v>0</v>
      </c>
      <c r="F6" s="18">
        <f>Front!E8</f>
        <v>0</v>
      </c>
      <c r="G6" s="17" t="str">
        <f>IF(Front!$F$3="Name PC 5","",Front!F8)</f>
        <v/>
      </c>
      <c r="H6" s="17" t="str">
        <f>IF(Front!$G$3="Name PC 6","",Front!G8)</f>
        <v/>
      </c>
      <c r="I6" s="18" t="str">
        <f>INDEX('Skill Liste'!$C$1:$H$1,MATCH(MAX('Skill Liste'!$C6:$H6), 'Skill Liste'!$C6:$H6, 0))</f>
        <v/>
      </c>
      <c r="J6" s="18" t="str">
        <f>INDEX('Skill Liste'!$C$1:$H$1,MATCH(LARGE('Skill Liste'!$C6:$H6,2), 'Skill Liste'!$C6:$H6, 0))</f>
        <v/>
      </c>
      <c r="K6" s="3"/>
    </row>
    <row r="7" spans="1:19" x14ac:dyDescent="0.25">
      <c r="A7">
        <v>7</v>
      </c>
      <c r="B7" s="18" t="s">
        <v>53</v>
      </c>
      <c r="C7" s="18">
        <f>Front!B9</f>
        <v>0</v>
      </c>
      <c r="D7" s="18">
        <f>Front!C9</f>
        <v>0</v>
      </c>
      <c r="E7" s="18">
        <f>Front!D9</f>
        <v>0</v>
      </c>
      <c r="F7" s="18">
        <f>Front!E9</f>
        <v>0</v>
      </c>
      <c r="G7" s="17" t="str">
        <f>IF(Front!$F$3="Name PC 5","",Front!F9)</f>
        <v/>
      </c>
      <c r="H7" s="17" t="str">
        <f>IF(Front!$G$3="Name PC 6","",Front!G9)</f>
        <v/>
      </c>
      <c r="I7" s="18" t="str">
        <f>INDEX('Skill Liste'!$C$1:$H$1,MATCH(MAX('Skill Liste'!$C7:$H7), 'Skill Liste'!$C7:$H7, 0))</f>
        <v/>
      </c>
      <c r="J7" s="18" t="str">
        <f>INDEX('Skill Liste'!$C$1:$H$1,MATCH(LARGE('Skill Liste'!$C7:$H7,2), 'Skill Liste'!$C7:$H7, 0))</f>
        <v/>
      </c>
      <c r="K7" s="3"/>
    </row>
    <row r="8" spans="1:19" x14ac:dyDescent="0.25">
      <c r="A8">
        <v>8</v>
      </c>
      <c r="B8" s="18" t="s">
        <v>12</v>
      </c>
      <c r="C8" s="18">
        <f>Front!B10</f>
        <v>0</v>
      </c>
      <c r="D8" s="18">
        <f>Front!C10</f>
        <v>0</v>
      </c>
      <c r="E8" s="18">
        <f>Front!D10</f>
        <v>0</v>
      </c>
      <c r="F8" s="18">
        <f>Front!E10</f>
        <v>0</v>
      </c>
      <c r="G8" s="17" t="str">
        <f>IF(Front!$F$3="Name PC 5","",Front!F10)</f>
        <v/>
      </c>
      <c r="H8" s="17" t="str">
        <f>IF(Front!$G$3="Name PC 6","",Front!G10)</f>
        <v/>
      </c>
      <c r="I8" s="18" t="str">
        <f>INDEX('Skill Liste'!$C$1:$H$1,MATCH(MAX('Skill Liste'!$C8:$H8), 'Skill Liste'!$C8:$H8, 0))</f>
        <v/>
      </c>
      <c r="J8" s="18" t="str">
        <f>INDEX('Skill Liste'!$C$1:$H$1,MATCH(LARGE('Skill Liste'!$C8:$H8,2), 'Skill Liste'!$C8:$H8, 0))</f>
        <v/>
      </c>
      <c r="K8" s="3"/>
    </row>
    <row r="9" spans="1:19" x14ac:dyDescent="0.25">
      <c r="A9">
        <v>9</v>
      </c>
      <c r="B9" s="18" t="s">
        <v>29</v>
      </c>
      <c r="C9" s="18">
        <f>Front!B11</f>
        <v>0</v>
      </c>
      <c r="D9" s="18">
        <f>Front!C11</f>
        <v>0</v>
      </c>
      <c r="E9" s="18">
        <f>Front!D11</f>
        <v>0</v>
      </c>
      <c r="F9" s="18">
        <f>Front!E11</f>
        <v>0</v>
      </c>
      <c r="G9" s="17" t="str">
        <f>IF(Front!$F$3="Name PC 5","",Front!F11)</f>
        <v/>
      </c>
      <c r="H9" s="17" t="str">
        <f>IF(Front!$G$3="Name PC 6","",Front!G11)</f>
        <v/>
      </c>
      <c r="I9" s="18" t="str">
        <f>INDEX('Skill Liste'!$C$1:$H$1,MATCH(MAX('Skill Liste'!$C9:$H9), 'Skill Liste'!$C9:$H9, 0))</f>
        <v/>
      </c>
      <c r="J9" s="18" t="str">
        <f>INDEX('Skill Liste'!$C$1:$H$1,MATCH(LARGE('Skill Liste'!$C9:$H9,2), 'Skill Liste'!$C9:$H9, 0))</f>
        <v/>
      </c>
      <c r="K9" s="3"/>
    </row>
    <row r="10" spans="1:19" x14ac:dyDescent="0.25">
      <c r="A10">
        <v>10</v>
      </c>
      <c r="B10" s="18" t="s">
        <v>15</v>
      </c>
      <c r="C10" s="18">
        <f>Front!B12</f>
        <v>0</v>
      </c>
      <c r="D10" s="18">
        <f>Front!C12</f>
        <v>0</v>
      </c>
      <c r="E10" s="18">
        <f>Front!D12</f>
        <v>0</v>
      </c>
      <c r="F10" s="18">
        <f>Front!E12</f>
        <v>0</v>
      </c>
      <c r="G10" s="17" t="str">
        <f>IF(Front!$F$3="Name PC 5","",Front!F12)</f>
        <v/>
      </c>
      <c r="H10" s="17" t="str">
        <f>IF(Front!$G$3="Name PC 6","",Front!G12)</f>
        <v/>
      </c>
      <c r="I10" s="18" t="str">
        <f>INDEX('Skill Liste'!$C$1:$H$1,MATCH(MAX('Skill Liste'!$C10:$H10), 'Skill Liste'!$C10:$H10, 0))</f>
        <v/>
      </c>
      <c r="J10" s="18" t="str">
        <f>INDEX('Skill Liste'!$C$1:$H$1,MATCH(LARGE('Skill Liste'!$C10:$H10,2), 'Skill Liste'!$C10:$H10, 0))</f>
        <v/>
      </c>
      <c r="K10" s="3"/>
    </row>
    <row r="11" spans="1:19" x14ac:dyDescent="0.25">
      <c r="A11">
        <v>11</v>
      </c>
      <c r="B11" s="18" t="s">
        <v>22</v>
      </c>
      <c r="C11" s="18">
        <f>Front!B13</f>
        <v>0</v>
      </c>
      <c r="D11" s="18">
        <f>Front!C13</f>
        <v>0</v>
      </c>
      <c r="E11" s="18">
        <f>Front!D13</f>
        <v>0</v>
      </c>
      <c r="F11" s="18">
        <f>Front!E13</f>
        <v>0</v>
      </c>
      <c r="G11" s="17" t="str">
        <f>IF(Front!$F$3="Name PC 5","",Front!F13)</f>
        <v/>
      </c>
      <c r="H11" s="17" t="str">
        <f>IF(Front!$G$3="Name PC 6","",Front!G13)</f>
        <v/>
      </c>
      <c r="I11" s="18" t="str">
        <f>INDEX('Skill Liste'!$C$1:$H$1,MATCH(MAX('Skill Liste'!$C11:$H11), 'Skill Liste'!$C11:$H11, 0))</f>
        <v/>
      </c>
      <c r="J11" s="18" t="str">
        <f>INDEX('Skill Liste'!$C$1:$H$1,MATCH(LARGE('Skill Liste'!$C11:$H11,2), 'Skill Liste'!$C11:$H11, 0))</f>
        <v/>
      </c>
      <c r="K11" s="3"/>
    </row>
    <row r="12" spans="1:19" x14ac:dyDescent="0.25">
      <c r="A12">
        <v>12</v>
      </c>
      <c r="B12" s="18" t="s">
        <v>21</v>
      </c>
      <c r="C12" s="18">
        <f>Front!B14</f>
        <v>0</v>
      </c>
      <c r="D12" s="18">
        <f>Front!C14</f>
        <v>0</v>
      </c>
      <c r="E12" s="18">
        <f>Front!D14</f>
        <v>0</v>
      </c>
      <c r="F12" s="18">
        <f>Front!E14</f>
        <v>0</v>
      </c>
      <c r="G12" s="17" t="str">
        <f>IF(Front!$F$3="Name PC 5","",Front!F14)</f>
        <v/>
      </c>
      <c r="H12" s="17" t="str">
        <f>IF(Front!$G$3="Name PC 6","",Front!G14)</f>
        <v/>
      </c>
      <c r="I12" s="18" t="str">
        <f>INDEX('Skill Liste'!$C$1:$H$1,MATCH(MAX('Skill Liste'!$C12:$H12), 'Skill Liste'!$C12:$H12, 0))</f>
        <v/>
      </c>
      <c r="J12" s="18" t="str">
        <f>INDEX('Skill Liste'!$C$1:$H$1,MATCH(LARGE('Skill Liste'!$C12:$H12,2), 'Skill Liste'!$C12:$H12, 0))</f>
        <v/>
      </c>
      <c r="K12" s="3"/>
    </row>
    <row r="13" spans="1:19" x14ac:dyDescent="0.25">
      <c r="A13">
        <v>13</v>
      </c>
      <c r="B13" s="18" t="s">
        <v>9</v>
      </c>
      <c r="C13" s="18">
        <f>Front!B15</f>
        <v>0</v>
      </c>
      <c r="D13" s="18">
        <f>Front!C15</f>
        <v>0</v>
      </c>
      <c r="E13" s="18">
        <f>Front!D15</f>
        <v>0</v>
      </c>
      <c r="F13" s="18">
        <f>Front!E15</f>
        <v>0</v>
      </c>
      <c r="G13" s="17" t="str">
        <f>IF(Front!$F$3="Name PC 5","",Front!F15)</f>
        <v/>
      </c>
      <c r="H13" s="17" t="str">
        <f>IF(Front!$G$3="Name PC 6","",Front!G15)</f>
        <v/>
      </c>
      <c r="I13" s="18" t="str">
        <f>INDEX('Skill Liste'!$C$1:$H$1,MATCH(MAX('Skill Liste'!$C13:$H13), 'Skill Liste'!$C13:$H13, 0))</f>
        <v/>
      </c>
      <c r="J13" s="18" t="str">
        <f>INDEX('Skill Liste'!$C$1:$H$1,MATCH(LARGE('Skill Liste'!$C13:$H13,2), 'Skill Liste'!$C13:$H13, 0))</f>
        <v/>
      </c>
      <c r="K13" s="3"/>
    </row>
    <row r="14" spans="1:19" x14ac:dyDescent="0.25">
      <c r="A14">
        <v>14</v>
      </c>
      <c r="B14" s="18" t="s">
        <v>5</v>
      </c>
      <c r="C14" s="18">
        <f>Front!B16</f>
        <v>0</v>
      </c>
      <c r="D14" s="18">
        <f>Front!C16</f>
        <v>0</v>
      </c>
      <c r="E14" s="18">
        <f>Front!D16</f>
        <v>0</v>
      </c>
      <c r="F14" s="18">
        <f>Front!E16</f>
        <v>0</v>
      </c>
      <c r="G14" s="17" t="str">
        <f>IF(Front!$F$3="Name PC 5","",Front!F16)</f>
        <v/>
      </c>
      <c r="H14" s="17" t="str">
        <f>IF(Front!$G$3="Name PC 6","",Front!G16)</f>
        <v/>
      </c>
      <c r="I14" s="18" t="str">
        <f>INDEX('Skill Liste'!$C$1:$H$1,MATCH(MAX('Skill Liste'!$C14:$H14), 'Skill Liste'!$C14:$H14, 0))</f>
        <v/>
      </c>
      <c r="J14" s="18" t="str">
        <f>INDEX('Skill Liste'!$C$1:$H$1,MATCH(LARGE('Skill Liste'!$C14:$H14,2), 'Skill Liste'!$C14:$H14, 0))</f>
        <v/>
      </c>
      <c r="K14" s="3"/>
    </row>
    <row r="15" spans="1:19" x14ac:dyDescent="0.25">
      <c r="A15">
        <v>15</v>
      </c>
      <c r="B15" s="18" t="s">
        <v>8</v>
      </c>
      <c r="C15" s="18">
        <f>Front!B17</f>
        <v>0</v>
      </c>
      <c r="D15" s="18">
        <f>Front!C17</f>
        <v>0</v>
      </c>
      <c r="E15" s="18">
        <f>Front!D17</f>
        <v>0</v>
      </c>
      <c r="F15" s="18">
        <f>Front!E17</f>
        <v>0</v>
      </c>
      <c r="G15" s="17" t="str">
        <f>IF(Front!$F$3="Name PC 5","",Front!F17)</f>
        <v/>
      </c>
      <c r="H15" s="17" t="str">
        <f>IF(Front!$G$3="Name PC 6","",Front!G17)</f>
        <v/>
      </c>
      <c r="I15" s="18" t="str">
        <f>INDEX('Skill Liste'!$C$1:$H$1,MATCH(MAX('Skill Liste'!$C15:$H15), 'Skill Liste'!$C15:$H15, 0))</f>
        <v/>
      </c>
      <c r="J15" s="18" t="str">
        <f>INDEX('Skill Liste'!$C$1:$H$1,MATCH(LARGE('Skill Liste'!$C15:$H15,2), 'Skill Liste'!$C15:$H15, 0))</f>
        <v/>
      </c>
      <c r="K15" s="3"/>
    </row>
    <row r="16" spans="1:19" x14ac:dyDescent="0.25">
      <c r="A16">
        <v>16</v>
      </c>
      <c r="B16" s="18" t="s">
        <v>24</v>
      </c>
      <c r="C16" s="18">
        <f>Front!B18</f>
        <v>0</v>
      </c>
      <c r="D16" s="18">
        <f>Front!C18</f>
        <v>0</v>
      </c>
      <c r="E16" s="18">
        <f>Front!D18</f>
        <v>0</v>
      </c>
      <c r="F16" s="18">
        <f>Front!E18</f>
        <v>0</v>
      </c>
      <c r="G16" s="17" t="str">
        <f>IF(Front!$F$3="Name PC 5","",Front!F18)</f>
        <v/>
      </c>
      <c r="H16" s="17" t="str">
        <f>IF(Front!$G$3="Name PC 6","",Front!G18)</f>
        <v/>
      </c>
      <c r="I16" s="18" t="str">
        <f>INDEX('Skill Liste'!$C$1:$H$1,MATCH(MAX('Skill Liste'!$C16:$H16), 'Skill Liste'!$C16:$H16, 0))</f>
        <v/>
      </c>
      <c r="J16" s="18" t="str">
        <f>INDEX('Skill Liste'!$C$1:$H$1,MATCH(LARGE('Skill Liste'!$C16:$H16,2), 'Skill Liste'!$C16:$H16, 0))</f>
        <v/>
      </c>
      <c r="K16" s="3"/>
    </row>
    <row r="17" spans="1:11" x14ac:dyDescent="0.25">
      <c r="A17">
        <v>17</v>
      </c>
      <c r="B17" s="18" t="s">
        <v>30</v>
      </c>
      <c r="C17" s="18">
        <f>Front!B19</f>
        <v>0</v>
      </c>
      <c r="D17" s="18">
        <f>Front!C19</f>
        <v>0</v>
      </c>
      <c r="E17" s="18">
        <f>Front!D19</f>
        <v>0</v>
      </c>
      <c r="F17" s="18">
        <f>Front!E19</f>
        <v>0</v>
      </c>
      <c r="G17" s="17" t="str">
        <f>IF(Front!$F$3="Name PC 5","",Front!F19)</f>
        <v/>
      </c>
      <c r="H17" s="17" t="str">
        <f>IF(Front!$G$3="Name PC 6","",Front!G19)</f>
        <v/>
      </c>
      <c r="I17" s="18" t="str">
        <f>INDEX('Skill Liste'!$C$1:$H$1,MATCH(MAX('Skill Liste'!$C17:$H17), 'Skill Liste'!$C17:$H17, 0))</f>
        <v/>
      </c>
      <c r="J17" s="18" t="str">
        <f>INDEX('Skill Liste'!$C$1:$H$1,MATCH(LARGE('Skill Liste'!$C17:$H17,2), 'Skill Liste'!$C17:$H17, 0))</f>
        <v/>
      </c>
      <c r="K17" s="3"/>
    </row>
    <row r="18" spans="1:11" x14ac:dyDescent="0.25">
      <c r="A18">
        <v>18</v>
      </c>
      <c r="B18" s="18" t="s">
        <v>19</v>
      </c>
      <c r="C18" s="18">
        <f>Front!B20</f>
        <v>0</v>
      </c>
      <c r="D18" s="18">
        <f>Front!C20</f>
        <v>0</v>
      </c>
      <c r="E18" s="18">
        <f>Front!D20</f>
        <v>0</v>
      </c>
      <c r="F18" s="18">
        <f>Front!E20</f>
        <v>0</v>
      </c>
      <c r="G18" s="17" t="str">
        <f>IF(Front!$F$3="Name PC 5","",Front!F20)</f>
        <v/>
      </c>
      <c r="H18" s="17" t="str">
        <f>IF(Front!$G$3="Name PC 6","",Front!G20)</f>
        <v/>
      </c>
      <c r="I18" s="18" t="str">
        <f>INDEX('Skill Liste'!$C$1:$H$1,MATCH(MAX('Skill Liste'!$C18:$H18), 'Skill Liste'!$C18:$H18, 0))</f>
        <v/>
      </c>
      <c r="J18" s="18" t="str">
        <f>INDEX('Skill Liste'!$C$1:$H$1,MATCH(LARGE('Skill Liste'!$C18:$H18,2), 'Skill Liste'!$C18:$H18, 0))</f>
        <v/>
      </c>
      <c r="K18" s="3"/>
    </row>
    <row r="19" spans="1:11" x14ac:dyDescent="0.25">
      <c r="A19">
        <v>19</v>
      </c>
      <c r="B19" s="18" t="s">
        <v>31</v>
      </c>
      <c r="C19" s="18">
        <f>Front!B21</f>
        <v>0</v>
      </c>
      <c r="D19" s="18">
        <f>Front!C21</f>
        <v>0</v>
      </c>
      <c r="E19" s="18">
        <f>Front!D21</f>
        <v>0</v>
      </c>
      <c r="F19" s="18">
        <f>Front!E21</f>
        <v>0</v>
      </c>
      <c r="G19" s="17" t="str">
        <f>IF(Front!$F$3="Name PC 5","",Front!F21)</f>
        <v/>
      </c>
      <c r="H19" s="17" t="str">
        <f>IF(Front!$G$3="Name PC 6","",Front!G21)</f>
        <v/>
      </c>
      <c r="I19" s="18" t="str">
        <f>INDEX('Skill Liste'!$C$1:$H$1,MATCH(MAX('Skill Liste'!$C19:$H19), 'Skill Liste'!$C19:$H19, 0))</f>
        <v/>
      </c>
      <c r="J19" s="18" t="str">
        <f>INDEX('Skill Liste'!$C$1:$H$1,MATCH(LARGE('Skill Liste'!$C19:$H19,2), 'Skill Liste'!$C19:$H19, 0))</f>
        <v/>
      </c>
      <c r="K19" s="3"/>
    </row>
    <row r="20" spans="1:11" x14ac:dyDescent="0.25">
      <c r="A20">
        <v>20</v>
      </c>
      <c r="B20" s="18" t="s">
        <v>25</v>
      </c>
      <c r="C20" s="18">
        <f>Front!B22</f>
        <v>0</v>
      </c>
      <c r="D20" s="18">
        <f>Front!C22</f>
        <v>0</v>
      </c>
      <c r="E20" s="18">
        <f>Front!D22</f>
        <v>0</v>
      </c>
      <c r="F20" s="18">
        <f>Front!E22</f>
        <v>0</v>
      </c>
      <c r="G20" s="17" t="str">
        <f>IF(Front!$F$3="Name PC 5","",Front!F22)</f>
        <v/>
      </c>
      <c r="H20" s="17" t="str">
        <f>IF(Front!$G$3="Name PC 6","",Front!G22)</f>
        <v/>
      </c>
      <c r="I20" s="18" t="str">
        <f>INDEX('Skill Liste'!$C$1:$H$1,MATCH(MAX('Skill Liste'!$C20:$H20), 'Skill Liste'!$C20:$H20, 0))</f>
        <v/>
      </c>
      <c r="J20" s="18" t="str">
        <f>INDEX('Skill Liste'!$C$1:$H$1,MATCH(LARGE('Skill Liste'!$C20:$H20,2), 'Skill Liste'!$C20:$H20, 0))</f>
        <v/>
      </c>
      <c r="K20" s="3"/>
    </row>
    <row r="21" spans="1:11" x14ac:dyDescent="0.25">
      <c r="A21">
        <v>21</v>
      </c>
      <c r="B21" s="18" t="s">
        <v>32</v>
      </c>
      <c r="C21" s="18">
        <f>Front!B23</f>
        <v>0</v>
      </c>
      <c r="D21" s="18">
        <f>Front!C23</f>
        <v>0</v>
      </c>
      <c r="E21" s="18">
        <f>Front!D23</f>
        <v>0</v>
      </c>
      <c r="F21" s="18">
        <f>Front!E23</f>
        <v>0</v>
      </c>
      <c r="G21" s="17" t="str">
        <f>IF(Front!$F$3="Name PC 5","",Front!F23)</f>
        <v/>
      </c>
      <c r="H21" s="17" t="str">
        <f>IF(Front!$G$3="Name PC 6","",Front!G23)</f>
        <v/>
      </c>
      <c r="I21" s="18" t="str">
        <f>INDEX('Skill Liste'!$C$1:$H$1,MATCH(MAX('Skill Liste'!$C21:$H21), 'Skill Liste'!$C21:$H21, 0))</f>
        <v/>
      </c>
      <c r="J21" s="18" t="str">
        <f>INDEX('Skill Liste'!$C$1:$H$1,MATCH(LARGE('Skill Liste'!$C21:$H21,2), 'Skill Liste'!$C21:$H21, 0))</f>
        <v/>
      </c>
      <c r="K21" s="3"/>
    </row>
    <row r="22" spans="1:11" x14ac:dyDescent="0.25">
      <c r="A22">
        <v>22</v>
      </c>
      <c r="B22" s="18" t="s">
        <v>10</v>
      </c>
      <c r="C22" s="18">
        <f>Front!B24</f>
        <v>0</v>
      </c>
      <c r="D22" s="18">
        <f>Front!C24</f>
        <v>0</v>
      </c>
      <c r="E22" s="18">
        <f>Front!D24</f>
        <v>0</v>
      </c>
      <c r="F22" s="18">
        <f>Front!E24</f>
        <v>0</v>
      </c>
      <c r="G22" s="17" t="str">
        <f>IF(Front!$F$3="Name PC 5","",Front!F24)</f>
        <v/>
      </c>
      <c r="H22" s="17" t="str">
        <f>IF(Front!$G$3="Name PC 6","",Front!G24)</f>
        <v/>
      </c>
      <c r="I22" s="18" t="str">
        <f>INDEX('Skill Liste'!$C$1:$H$1,MATCH(MAX('Skill Liste'!$C22:$H22), 'Skill Liste'!$C22:$H22, 0))</f>
        <v/>
      </c>
      <c r="J22" s="18" t="str">
        <f>INDEX('Skill Liste'!$C$1:$H$1,MATCH(LARGE('Skill Liste'!$C22:$H22,2), 'Skill Liste'!$C22:$H22, 0))</f>
        <v/>
      </c>
      <c r="K22" s="3"/>
    </row>
    <row r="23" spans="1:11" x14ac:dyDescent="0.25">
      <c r="A23">
        <v>23</v>
      </c>
      <c r="B23" s="18" t="s">
        <v>26</v>
      </c>
      <c r="C23" s="18">
        <f>Front!B25</f>
        <v>0</v>
      </c>
      <c r="D23" s="18">
        <f>Front!C25</f>
        <v>0</v>
      </c>
      <c r="E23" s="18">
        <f>Front!D25</f>
        <v>0</v>
      </c>
      <c r="F23" s="18">
        <f>Front!E25</f>
        <v>0</v>
      </c>
      <c r="G23" s="17" t="str">
        <f>IF(Front!$F$3="Name PC 5","",Front!F25)</f>
        <v/>
      </c>
      <c r="H23" s="17" t="str">
        <f>IF(Front!$G$3="Name PC 6","",Front!G25)</f>
        <v/>
      </c>
      <c r="I23" s="18" t="str">
        <f>INDEX('Skill Liste'!$C$1:$H$1,MATCH(MAX('Skill Liste'!$C23:$H23), 'Skill Liste'!$C23:$H23, 0))</f>
        <v/>
      </c>
      <c r="J23" s="18" t="str">
        <f>INDEX('Skill Liste'!$C$1:$H$1,MATCH(LARGE('Skill Liste'!$C23:$H23,2), 'Skill Liste'!$C23:$H23, 0))</f>
        <v/>
      </c>
      <c r="K23" s="3"/>
    </row>
    <row r="24" spans="1:11" x14ac:dyDescent="0.25">
      <c r="A24">
        <v>24</v>
      </c>
      <c r="B24" s="18" t="s">
        <v>13</v>
      </c>
      <c r="C24" s="18">
        <f>Front!B26</f>
        <v>0</v>
      </c>
      <c r="D24" s="18">
        <f>Front!C26</f>
        <v>0</v>
      </c>
      <c r="E24" s="18">
        <f>Front!D26</f>
        <v>0</v>
      </c>
      <c r="F24" s="18">
        <f>Front!E26</f>
        <v>0</v>
      </c>
      <c r="G24" s="17" t="str">
        <f>IF(Front!$F$3="Name PC 5","",Front!F26)</f>
        <v/>
      </c>
      <c r="H24" s="17" t="str">
        <f>IF(Front!$G$3="Name PC 6","",Front!G26)</f>
        <v/>
      </c>
      <c r="I24" s="18" t="str">
        <f>INDEX('Skill Liste'!$C$1:$H$1,MATCH(MAX('Skill Liste'!$C24:$H24), 'Skill Liste'!$C24:$H24, 0))</f>
        <v/>
      </c>
      <c r="J24" s="18" t="str">
        <f>INDEX('Skill Liste'!$C$1:$H$1,MATCH(LARGE('Skill Liste'!$C24:$H24,2), 'Skill Liste'!$C24:$H24, 0))</f>
        <v/>
      </c>
      <c r="K24" s="3"/>
    </row>
    <row r="25" spans="1:11" x14ac:dyDescent="0.25">
      <c r="A25">
        <v>25</v>
      </c>
      <c r="B25" s="18" t="s">
        <v>16</v>
      </c>
      <c r="C25" s="18">
        <f>Front!B27</f>
        <v>0</v>
      </c>
      <c r="D25" s="18">
        <f>Front!C27</f>
        <v>0</v>
      </c>
      <c r="E25" s="18">
        <f>Front!D27</f>
        <v>0</v>
      </c>
      <c r="F25" s="18">
        <f>Front!E27</f>
        <v>0</v>
      </c>
      <c r="G25" s="17" t="str">
        <f>IF(Front!$F$3="Name PC 5","",Front!F27)</f>
        <v/>
      </c>
      <c r="H25" s="17" t="str">
        <f>IF(Front!$G$3="Name PC 6","",Front!G27)</f>
        <v/>
      </c>
      <c r="I25" s="18" t="str">
        <f>INDEX('Skill Liste'!$C$1:$H$1,MATCH(MAX('Skill Liste'!$C25:$H25), 'Skill Liste'!$C25:$H25, 0))</f>
        <v/>
      </c>
      <c r="J25" s="18" t="str">
        <f>INDEX('Skill Liste'!$C$1:$H$1,MATCH(LARGE('Skill Liste'!$C25:$H25,2), 'Skill Liste'!$C25:$H25, 0))</f>
        <v/>
      </c>
      <c r="K25" s="3"/>
    </row>
    <row r="26" spans="1:11" x14ac:dyDescent="0.25">
      <c r="A26">
        <v>26</v>
      </c>
      <c r="B26" s="18" t="s">
        <v>17</v>
      </c>
      <c r="C26" s="18">
        <f>Front!B28</f>
        <v>0</v>
      </c>
      <c r="D26" s="18">
        <f>Front!C28</f>
        <v>0</v>
      </c>
      <c r="E26" s="18">
        <f>Front!D28</f>
        <v>0</v>
      </c>
      <c r="F26" s="18">
        <f>Front!E28</f>
        <v>0</v>
      </c>
      <c r="G26" s="17" t="str">
        <f>IF(Front!$F$3="Name PC 5","",Front!F28)</f>
        <v/>
      </c>
      <c r="H26" s="17" t="str">
        <f>IF(Front!$G$3="Name PC 6","",Front!G28)</f>
        <v/>
      </c>
      <c r="I26" s="18" t="str">
        <f>INDEX('Skill Liste'!$C$1:$H$1,MATCH(MAX('Skill Liste'!$C26:$H26), 'Skill Liste'!$C26:$H26, 0))</f>
        <v/>
      </c>
      <c r="J26" s="18" t="str">
        <f>INDEX('Skill Liste'!$C$1:$H$1,MATCH(LARGE('Skill Liste'!$C26:$H26,2), 'Skill Liste'!$C26:$H26, 0))</f>
        <v/>
      </c>
      <c r="K26" s="3"/>
    </row>
    <row r="27" spans="1:11" x14ac:dyDescent="0.25">
      <c r="A27">
        <v>27</v>
      </c>
      <c r="B27" s="18" t="s">
        <v>2</v>
      </c>
      <c r="C27" s="18">
        <f>Front!B29</f>
        <v>0</v>
      </c>
      <c r="D27" s="18">
        <f>Front!C29</f>
        <v>0</v>
      </c>
      <c r="E27" s="18">
        <f>Front!D29</f>
        <v>0</v>
      </c>
      <c r="F27" s="18">
        <f>Front!E29</f>
        <v>0</v>
      </c>
      <c r="G27" s="17" t="str">
        <f>IF(Front!$F$3="Name PC 5","",Front!F29)</f>
        <v/>
      </c>
      <c r="H27" s="17" t="str">
        <f>IF(Front!$G$3="Name PC 6","",Front!G29)</f>
        <v/>
      </c>
      <c r="I27" s="18" t="str">
        <f>INDEX('Skill Liste'!$C$1:$H$1,MATCH(MAX('Skill Liste'!$C27:$H27), 'Skill Liste'!$C27:$H27, 0))</f>
        <v/>
      </c>
      <c r="J27" s="18" t="str">
        <f>INDEX('Skill Liste'!$C$1:$H$1,MATCH(LARGE('Skill Liste'!$C27:$H27,2), 'Skill Liste'!$C27:$H27, 0))</f>
        <v/>
      </c>
      <c r="K27" s="3"/>
    </row>
    <row r="28" spans="1:11" x14ac:dyDescent="0.25">
      <c r="A28">
        <v>28</v>
      </c>
      <c r="B28" s="18" t="s">
        <v>27</v>
      </c>
      <c r="C28" s="18">
        <f>Front!B30</f>
        <v>0</v>
      </c>
      <c r="D28" s="18">
        <f>Front!C30</f>
        <v>0</v>
      </c>
      <c r="E28" s="18">
        <f>Front!D30</f>
        <v>0</v>
      </c>
      <c r="F28" s="18">
        <f>Front!E30</f>
        <v>0</v>
      </c>
      <c r="G28" s="17" t="str">
        <f>IF(Front!$F$3="Name PC 5","",Front!F30)</f>
        <v/>
      </c>
      <c r="H28" s="17" t="str">
        <f>IF(Front!$G$3="Name PC 6","",Front!G30)</f>
        <v/>
      </c>
      <c r="I28" s="18" t="str">
        <f>INDEX('Skill Liste'!$C$1:$H$1,MATCH(MAX('Skill Liste'!$C28:$H28), 'Skill Liste'!$C28:$H28, 0))</f>
        <v/>
      </c>
      <c r="J28" s="18" t="str">
        <f>INDEX('Skill Liste'!$C$1:$H$1,MATCH(LARGE('Skill Liste'!$C28:$H28,2), 'Skill Liste'!$C28:$H28, 0))</f>
        <v/>
      </c>
      <c r="K28" s="3"/>
    </row>
    <row r="29" spans="1:11" x14ac:dyDescent="0.25">
      <c r="A29">
        <v>29</v>
      </c>
      <c r="B29" s="18" t="s">
        <v>4</v>
      </c>
      <c r="C29" s="18">
        <f>Front!B31</f>
        <v>0</v>
      </c>
      <c r="D29" s="18">
        <f>Front!C31</f>
        <v>0</v>
      </c>
      <c r="E29" s="18">
        <f>Front!D31</f>
        <v>0</v>
      </c>
      <c r="F29" s="18">
        <f>Front!E31</f>
        <v>0</v>
      </c>
      <c r="G29" s="17" t="str">
        <f>IF(Front!$F$3="Name PC 5","",Front!F31)</f>
        <v/>
      </c>
      <c r="H29" s="17" t="str">
        <f>IF(Front!$G$3="Name PC 6","",Front!G31)</f>
        <v/>
      </c>
      <c r="I29" s="18" t="str">
        <f>INDEX('Skill Liste'!$C$1:$H$1,MATCH(MAX('Skill Liste'!$C29:$H29), 'Skill Liste'!$C29:$H29, 0))</f>
        <v/>
      </c>
      <c r="J29" s="18" t="str">
        <f>INDEX('Skill Liste'!$C$1:$H$1,MATCH(LARGE('Skill Liste'!$C29:$H29,2), 'Skill Liste'!$C29:$H29, 0))</f>
        <v/>
      </c>
      <c r="K29" s="3"/>
    </row>
  </sheetData>
  <sheetProtection sheet="1" objects="1" scenarios="1"/>
  <conditionalFormatting sqref="B3:B29">
    <cfRule type="expression" dxfId="2" priority="3">
      <formula>MAX($D3:$H3)&lt;10</formula>
    </cfRule>
  </conditionalFormatting>
  <conditionalFormatting sqref="I2:I29">
    <cfRule type="expression" dxfId="1" priority="1">
      <formula>$I2&lt;&gt;$J2</formula>
    </cfRule>
    <cfRule type="expression" dxfId="0" priority="2">
      <formula>$I2=$J2</formula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J103"/>
  <sheetViews>
    <sheetView topLeftCell="A51" zoomScaleNormal="100" workbookViewId="0">
      <selection activeCell="D67" sqref="D67"/>
    </sheetView>
  </sheetViews>
  <sheetFormatPr baseColWidth="10" defaultRowHeight="15" x14ac:dyDescent="0.25"/>
  <sheetData>
    <row r="1" spans="1:36" x14ac:dyDescent="0.25">
      <c r="A1" s="73" t="s">
        <v>136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</row>
    <row r="2" spans="1:36" x14ac:dyDescent="0.25">
      <c r="A2" s="73">
        <v>1</v>
      </c>
      <c r="B2" s="73">
        <v>2</v>
      </c>
      <c r="C2" s="73">
        <v>3</v>
      </c>
      <c r="D2" s="73">
        <v>4</v>
      </c>
      <c r="E2" s="73" t="s">
        <v>86</v>
      </c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</row>
    <row r="3" spans="1:36" x14ac:dyDescent="0.25">
      <c r="A3" s="73">
        <v>5</v>
      </c>
      <c r="B3" s="73">
        <v>6</v>
      </c>
      <c r="C3" s="73">
        <v>7</v>
      </c>
      <c r="D3" s="73">
        <v>8</v>
      </c>
      <c r="E3" s="73" t="s">
        <v>87</v>
      </c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</row>
    <row r="4" spans="1:36" x14ac:dyDescent="0.25">
      <c r="A4" s="73">
        <v>9</v>
      </c>
      <c r="B4" s="73">
        <v>10</v>
      </c>
      <c r="C4" s="73">
        <v>11</v>
      </c>
      <c r="D4" s="73">
        <v>12</v>
      </c>
      <c r="E4" s="73" t="s">
        <v>88</v>
      </c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</row>
    <row r="5" spans="1:36" x14ac:dyDescent="0.25">
      <c r="A5" s="73">
        <v>13</v>
      </c>
      <c r="B5" s="73">
        <v>14</v>
      </c>
      <c r="C5" s="73">
        <v>15</v>
      </c>
      <c r="D5" s="73">
        <v>16</v>
      </c>
      <c r="E5" s="73" t="s">
        <v>89</v>
      </c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</row>
    <row r="6" spans="1:36" x14ac:dyDescent="0.25">
      <c r="A6" s="73">
        <v>17</v>
      </c>
      <c r="B6" s="73">
        <v>18</v>
      </c>
      <c r="C6" s="73">
        <v>19</v>
      </c>
      <c r="D6" s="73">
        <v>20</v>
      </c>
      <c r="E6" s="73" t="s">
        <v>90</v>
      </c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</row>
    <row r="7" spans="1:36" x14ac:dyDescent="0.25">
      <c r="A7" s="73">
        <v>21</v>
      </c>
      <c r="B7" s="73">
        <v>22</v>
      </c>
      <c r="C7" s="73">
        <v>23</v>
      </c>
      <c r="D7" s="73">
        <v>24</v>
      </c>
      <c r="E7" s="73" t="s">
        <v>91</v>
      </c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</row>
    <row r="8" spans="1:36" x14ac:dyDescent="0.25">
      <c r="A8" s="73">
        <v>25</v>
      </c>
      <c r="B8" s="73">
        <v>26</v>
      </c>
      <c r="C8" s="73">
        <v>27</v>
      </c>
      <c r="D8" s="73">
        <v>28</v>
      </c>
      <c r="E8" s="73" t="s">
        <v>92</v>
      </c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</row>
    <row r="9" spans="1:36" x14ac:dyDescent="0.25">
      <c r="A9" s="73">
        <v>29</v>
      </c>
      <c r="B9" s="73">
        <v>30</v>
      </c>
      <c r="C9" s="73">
        <v>31</v>
      </c>
      <c r="D9" s="73">
        <v>32</v>
      </c>
      <c r="E9" s="73" t="s">
        <v>93</v>
      </c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</row>
    <row r="10" spans="1:36" x14ac:dyDescent="0.25">
      <c r="A10" s="73">
        <v>33</v>
      </c>
      <c r="B10" s="73">
        <v>34</v>
      </c>
      <c r="C10" s="73">
        <v>35</v>
      </c>
      <c r="D10" s="73">
        <v>36</v>
      </c>
      <c r="E10" s="73" t="s">
        <v>94</v>
      </c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</row>
    <row r="11" spans="1:36" x14ac:dyDescent="0.25">
      <c r="A11" s="73">
        <v>37</v>
      </c>
      <c r="B11" s="73">
        <v>38</v>
      </c>
      <c r="C11" s="73">
        <v>39</v>
      </c>
      <c r="D11" s="73">
        <v>40</v>
      </c>
      <c r="E11" s="73" t="s">
        <v>95</v>
      </c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</row>
    <row r="12" spans="1:36" x14ac:dyDescent="0.25">
      <c r="A12" s="73">
        <v>41</v>
      </c>
      <c r="B12" s="73">
        <v>42</v>
      </c>
      <c r="C12" s="73">
        <v>43</v>
      </c>
      <c r="D12" s="73">
        <v>44</v>
      </c>
      <c r="E12" s="73" t="s">
        <v>96</v>
      </c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</row>
    <row r="13" spans="1:36" x14ac:dyDescent="0.25">
      <c r="A13" s="73">
        <v>45</v>
      </c>
      <c r="B13" s="73">
        <v>46</v>
      </c>
      <c r="C13" s="73">
        <v>47</v>
      </c>
      <c r="D13" s="73">
        <v>48</v>
      </c>
      <c r="E13" s="73" t="s">
        <v>97</v>
      </c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</row>
    <row r="14" spans="1:36" x14ac:dyDescent="0.25">
      <c r="A14" s="73">
        <v>49</v>
      </c>
      <c r="B14" s="73">
        <v>50</v>
      </c>
      <c r="C14" s="73">
        <v>51</v>
      </c>
      <c r="D14" s="73">
        <v>52</v>
      </c>
      <c r="E14" s="73" t="s">
        <v>98</v>
      </c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</row>
    <row r="15" spans="1:36" x14ac:dyDescent="0.25">
      <c r="A15" s="73">
        <v>53</v>
      </c>
      <c r="B15" s="73">
        <v>54</v>
      </c>
      <c r="C15" s="73">
        <v>55</v>
      </c>
      <c r="D15" s="73">
        <v>56</v>
      </c>
      <c r="E15" s="73" t="s">
        <v>99</v>
      </c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</row>
    <row r="16" spans="1:36" x14ac:dyDescent="0.25">
      <c r="A16" s="73">
        <v>57</v>
      </c>
      <c r="B16" s="73">
        <v>58</v>
      </c>
      <c r="C16" s="73">
        <v>59</v>
      </c>
      <c r="D16" s="73">
        <v>60</v>
      </c>
      <c r="E16" s="73" t="s">
        <v>100</v>
      </c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</row>
    <row r="17" spans="1:36" x14ac:dyDescent="0.25">
      <c r="A17" s="73">
        <v>61</v>
      </c>
      <c r="B17" s="73">
        <v>62</v>
      </c>
      <c r="C17" s="73">
        <v>63</v>
      </c>
      <c r="D17" s="73">
        <v>64</v>
      </c>
      <c r="E17" s="73" t="s">
        <v>101</v>
      </c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</row>
    <row r="18" spans="1:36" x14ac:dyDescent="0.25">
      <c r="A18" s="73">
        <v>65</v>
      </c>
      <c r="B18" s="73">
        <v>66</v>
      </c>
      <c r="C18" s="73">
        <v>67</v>
      </c>
      <c r="D18" s="73">
        <v>68</v>
      </c>
      <c r="E18" s="73" t="s">
        <v>108</v>
      </c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</row>
    <row r="19" spans="1:36" x14ac:dyDescent="0.25">
      <c r="A19" s="73">
        <v>69</v>
      </c>
      <c r="B19" s="73">
        <v>70</v>
      </c>
      <c r="C19" s="73">
        <v>71</v>
      </c>
      <c r="D19" s="73">
        <v>72</v>
      </c>
      <c r="E19" s="73" t="s">
        <v>102</v>
      </c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</row>
    <row r="20" spans="1:36" x14ac:dyDescent="0.25">
      <c r="A20" s="73">
        <v>73</v>
      </c>
      <c r="B20" s="73">
        <v>74</v>
      </c>
      <c r="C20" s="73">
        <v>75</v>
      </c>
      <c r="D20" s="73">
        <v>76</v>
      </c>
      <c r="E20" s="73" t="s">
        <v>103</v>
      </c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</row>
    <row r="21" spans="1:36" x14ac:dyDescent="0.25">
      <c r="A21" s="73">
        <v>77</v>
      </c>
      <c r="B21" s="73">
        <v>78</v>
      </c>
      <c r="C21" s="73">
        <v>79</v>
      </c>
      <c r="D21" s="73">
        <v>80</v>
      </c>
      <c r="E21" s="73" t="s">
        <v>104</v>
      </c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</row>
    <row r="22" spans="1:36" x14ac:dyDescent="0.25">
      <c r="A22" s="73">
        <v>81</v>
      </c>
      <c r="B22" s="73">
        <v>82</v>
      </c>
      <c r="C22" s="73">
        <v>83</v>
      </c>
      <c r="D22" s="73">
        <v>84</v>
      </c>
      <c r="E22" s="73" t="s">
        <v>105</v>
      </c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</row>
    <row r="23" spans="1:36" x14ac:dyDescent="0.25">
      <c r="A23" s="73">
        <v>85</v>
      </c>
      <c r="B23" s="73">
        <v>86</v>
      </c>
      <c r="C23" s="73">
        <v>87</v>
      </c>
      <c r="D23" s="73">
        <v>88</v>
      </c>
      <c r="E23" s="73" t="s">
        <v>106</v>
      </c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</row>
    <row r="24" spans="1:36" x14ac:dyDescent="0.25">
      <c r="A24" s="73">
        <v>89</v>
      </c>
      <c r="B24" s="73">
        <v>90</v>
      </c>
      <c r="C24" s="73">
        <v>91</v>
      </c>
      <c r="D24" s="73">
        <v>92</v>
      </c>
      <c r="E24" s="73" t="s">
        <v>107</v>
      </c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</row>
    <row r="25" spans="1:36" x14ac:dyDescent="0.25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</row>
    <row r="26" spans="1:36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</row>
    <row r="27" spans="1:36" x14ac:dyDescent="0.25">
      <c r="A27" s="73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5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</row>
    <row r="28" spans="1:36" x14ac:dyDescent="0.25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</row>
    <row r="29" spans="1:36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</row>
    <row r="30" spans="1:36" x14ac:dyDescent="0.25">
      <c r="A30" s="73" t="s">
        <v>137</v>
      </c>
      <c r="B30" s="73"/>
      <c r="C30" s="73"/>
      <c r="D30" s="73"/>
      <c r="E30" s="73"/>
      <c r="F30" s="73"/>
      <c r="G30" s="73"/>
      <c r="H30" s="73"/>
      <c r="I30" s="73"/>
      <c r="J30" s="73" t="s">
        <v>138</v>
      </c>
      <c r="K30" s="73"/>
      <c r="L30" s="73"/>
      <c r="M30" s="73"/>
      <c r="N30" s="73"/>
      <c r="O30" s="73"/>
      <c r="P30" s="73"/>
      <c r="Q30" s="73"/>
      <c r="R30" s="73"/>
      <c r="S30" s="73" t="s">
        <v>139</v>
      </c>
      <c r="T30" s="73"/>
      <c r="U30" s="73"/>
      <c r="V30" s="73"/>
      <c r="W30" s="73"/>
      <c r="X30" s="73"/>
      <c r="Y30" s="73"/>
      <c r="Z30" s="73"/>
      <c r="AA30" s="73"/>
      <c r="AB30" s="73" t="s">
        <v>140</v>
      </c>
      <c r="AC30" s="73"/>
      <c r="AD30" s="73"/>
      <c r="AE30" s="73"/>
      <c r="AF30" s="73"/>
      <c r="AG30" s="73"/>
      <c r="AH30" s="73"/>
      <c r="AI30" s="73"/>
      <c r="AJ30" s="73"/>
    </row>
    <row r="31" spans="1:36" x14ac:dyDescent="0.25">
      <c r="A31" s="73" t="s">
        <v>0</v>
      </c>
      <c r="B31" s="73" t="s">
        <v>141</v>
      </c>
      <c r="C31" s="73" t="s">
        <v>114</v>
      </c>
      <c r="D31" s="73" t="s">
        <v>113</v>
      </c>
      <c r="E31" s="73" t="s">
        <v>112</v>
      </c>
      <c r="F31" s="73" t="s">
        <v>111</v>
      </c>
      <c r="G31" s="73" t="s">
        <v>110</v>
      </c>
      <c r="H31" s="73"/>
      <c r="I31" s="73"/>
      <c r="J31" s="73" t="s">
        <v>0</v>
      </c>
      <c r="K31" s="73" t="s">
        <v>141</v>
      </c>
      <c r="L31" s="73" t="s">
        <v>114</v>
      </c>
      <c r="M31" s="73" t="s">
        <v>113</v>
      </c>
      <c r="N31" s="73" t="s">
        <v>112</v>
      </c>
      <c r="O31" s="73" t="s">
        <v>111</v>
      </c>
      <c r="P31" s="73" t="s">
        <v>110</v>
      </c>
      <c r="Q31" s="73"/>
      <c r="R31" s="73"/>
      <c r="S31" s="73" t="s">
        <v>0</v>
      </c>
      <c r="T31" s="73" t="s">
        <v>141</v>
      </c>
      <c r="U31" s="73" t="s">
        <v>114</v>
      </c>
      <c r="V31" s="73" t="s">
        <v>113</v>
      </c>
      <c r="W31" s="73" t="s">
        <v>112</v>
      </c>
      <c r="X31" s="73" t="s">
        <v>111</v>
      </c>
      <c r="Y31" s="73" t="s">
        <v>110</v>
      </c>
      <c r="Z31" s="73"/>
      <c r="AA31" s="73"/>
      <c r="AB31" s="73" t="s">
        <v>0</v>
      </c>
      <c r="AC31" s="73" t="s">
        <v>141</v>
      </c>
      <c r="AD31" s="73" t="s">
        <v>114</v>
      </c>
      <c r="AE31" s="73" t="s">
        <v>113</v>
      </c>
      <c r="AF31" s="73" t="s">
        <v>112</v>
      </c>
      <c r="AG31" s="73" t="s">
        <v>111</v>
      </c>
      <c r="AH31" s="73" t="s">
        <v>110</v>
      </c>
      <c r="AI31" s="73"/>
      <c r="AJ31" s="73"/>
    </row>
    <row r="32" spans="1:36" x14ac:dyDescent="0.25">
      <c r="A32" s="73" t="s">
        <v>86</v>
      </c>
      <c r="B32" s="73" t="s">
        <v>142</v>
      </c>
      <c r="C32" s="73"/>
      <c r="D32" s="73"/>
      <c r="E32" s="73" t="s">
        <v>143</v>
      </c>
      <c r="F32" s="73"/>
      <c r="G32" s="73"/>
      <c r="H32" s="73"/>
      <c r="I32" s="73"/>
      <c r="J32" s="73"/>
      <c r="K32" s="73" t="s">
        <v>144</v>
      </c>
      <c r="L32" s="73"/>
      <c r="M32" s="73"/>
      <c r="N32" s="73"/>
      <c r="O32" s="73" t="s">
        <v>143</v>
      </c>
      <c r="P32" s="73"/>
      <c r="Q32" s="73"/>
      <c r="R32" s="73"/>
      <c r="S32" s="73"/>
      <c r="T32" s="73" t="s">
        <v>145</v>
      </c>
      <c r="U32" s="73"/>
      <c r="V32" s="73"/>
      <c r="W32" s="73"/>
      <c r="X32" s="73"/>
      <c r="Y32" s="73" t="s">
        <v>143</v>
      </c>
      <c r="Z32" s="73"/>
      <c r="AA32" s="73"/>
      <c r="AB32" s="73"/>
      <c r="AC32" s="73" t="s">
        <v>146</v>
      </c>
      <c r="AD32" s="73"/>
      <c r="AE32" s="73"/>
      <c r="AF32" s="73"/>
      <c r="AG32" s="73"/>
      <c r="AH32" s="73"/>
      <c r="AI32" s="73"/>
      <c r="AJ32" s="73"/>
    </row>
    <row r="33" spans="1:36" x14ac:dyDescent="0.25">
      <c r="A33" s="73" t="s">
        <v>87</v>
      </c>
      <c r="B33" s="73" t="s">
        <v>147</v>
      </c>
      <c r="C33" s="73">
        <v>-10</v>
      </c>
      <c r="D33" s="73">
        <v>-1</v>
      </c>
      <c r="E33" s="73"/>
      <c r="F33" s="73"/>
      <c r="G33" s="73"/>
      <c r="H33" s="73"/>
      <c r="I33" s="73"/>
      <c r="J33" s="73"/>
      <c r="K33" s="73" t="s">
        <v>148</v>
      </c>
      <c r="L33" s="73"/>
      <c r="M33" s="73"/>
      <c r="N33" s="73"/>
      <c r="O33" s="73"/>
      <c r="P33" s="73"/>
      <c r="Q33" s="73"/>
      <c r="R33" s="73"/>
      <c r="S33" s="73"/>
      <c r="T33" s="73" t="s">
        <v>149</v>
      </c>
      <c r="U33" s="73">
        <v>5</v>
      </c>
      <c r="V33" s="73">
        <v>2</v>
      </c>
      <c r="W33" s="73"/>
      <c r="X33" s="73"/>
      <c r="Y33" s="73"/>
      <c r="Z33" s="73"/>
      <c r="AA33" s="73"/>
      <c r="AB33" s="73"/>
      <c r="AC33" s="73" t="s">
        <v>150</v>
      </c>
      <c r="AD33" s="73">
        <v>15</v>
      </c>
      <c r="AE33" s="73"/>
      <c r="AF33" s="73"/>
      <c r="AG33" s="73"/>
      <c r="AH33" s="73" t="s">
        <v>143</v>
      </c>
      <c r="AI33" s="73"/>
      <c r="AJ33" s="73"/>
    </row>
    <row r="34" spans="1:36" x14ac:dyDescent="0.25">
      <c r="A34" s="73" t="s">
        <v>88</v>
      </c>
      <c r="B34" s="73" t="s">
        <v>151</v>
      </c>
      <c r="C34" s="73">
        <v>-5</v>
      </c>
      <c r="D34" s="73">
        <v>-3</v>
      </c>
      <c r="E34" s="73"/>
      <c r="F34" s="73"/>
      <c r="G34" s="73"/>
      <c r="H34" s="73"/>
      <c r="I34" s="73"/>
      <c r="J34" s="73"/>
      <c r="K34" s="73" t="s">
        <v>152</v>
      </c>
      <c r="L34" s="73"/>
      <c r="M34" s="73"/>
      <c r="N34" s="73"/>
      <c r="O34" s="73"/>
      <c r="P34" s="73"/>
      <c r="Q34" s="73"/>
      <c r="R34" s="73"/>
      <c r="S34" s="73"/>
      <c r="T34" s="73" t="s">
        <v>153</v>
      </c>
      <c r="U34" s="73">
        <v>5</v>
      </c>
      <c r="V34" s="73">
        <v>3</v>
      </c>
      <c r="W34" s="73"/>
      <c r="X34" s="73"/>
      <c r="Y34" s="73"/>
      <c r="Z34" s="73"/>
      <c r="AA34" s="73"/>
      <c r="AB34" s="73"/>
      <c r="AC34" s="73" t="s">
        <v>154</v>
      </c>
      <c r="AD34" s="73">
        <v>10</v>
      </c>
      <c r="AE34" s="73">
        <v>7</v>
      </c>
      <c r="AF34" s="73"/>
      <c r="AG34" s="73"/>
      <c r="AH34" s="73"/>
      <c r="AI34" s="73"/>
      <c r="AJ34" s="73"/>
    </row>
    <row r="35" spans="1:36" x14ac:dyDescent="0.25">
      <c r="A35" s="73" t="s">
        <v>89</v>
      </c>
      <c r="B35" s="73" t="s">
        <v>155</v>
      </c>
      <c r="C35" s="73">
        <v>-5</v>
      </c>
      <c r="D35" s="73">
        <v>-3</v>
      </c>
      <c r="E35" s="73"/>
      <c r="F35" s="73"/>
      <c r="G35" s="73"/>
      <c r="H35" s="73"/>
      <c r="I35" s="73"/>
      <c r="J35" s="73"/>
      <c r="K35" s="73" t="s">
        <v>156</v>
      </c>
      <c r="L35" s="73"/>
      <c r="M35" s="73">
        <v>-1</v>
      </c>
      <c r="N35" s="73"/>
      <c r="O35" s="73"/>
      <c r="P35" s="73"/>
      <c r="Q35" s="73"/>
      <c r="R35" s="73"/>
      <c r="S35" s="73"/>
      <c r="T35" s="73" t="s">
        <v>157</v>
      </c>
      <c r="U35" s="73"/>
      <c r="V35" s="73">
        <v>3</v>
      </c>
      <c r="W35" s="73"/>
      <c r="X35" s="73"/>
      <c r="Y35" s="73"/>
      <c r="Z35" s="73"/>
      <c r="AA35" s="73"/>
      <c r="AB35" s="73"/>
      <c r="AC35" s="73" t="s">
        <v>158</v>
      </c>
      <c r="AD35" s="73"/>
      <c r="AE35" s="73">
        <v>3</v>
      </c>
      <c r="AF35" s="73"/>
      <c r="AG35" s="73"/>
      <c r="AH35" s="73" t="s">
        <v>143</v>
      </c>
      <c r="AI35" s="73"/>
      <c r="AJ35" s="73"/>
    </row>
    <row r="36" spans="1:36" x14ac:dyDescent="0.25">
      <c r="A36" s="73" t="s">
        <v>90</v>
      </c>
      <c r="B36" s="73" t="s">
        <v>159</v>
      </c>
      <c r="C36" s="73">
        <v>-5</v>
      </c>
      <c r="D36" s="73">
        <v>-1</v>
      </c>
      <c r="E36" s="73"/>
      <c r="F36" s="73"/>
      <c r="G36" s="73"/>
      <c r="H36" s="73"/>
      <c r="I36" s="73"/>
      <c r="J36" s="73"/>
      <c r="K36" s="73" t="s">
        <v>160</v>
      </c>
      <c r="L36" s="73"/>
      <c r="M36" s="73"/>
      <c r="N36" s="73"/>
      <c r="O36" s="73"/>
      <c r="P36" s="73"/>
      <c r="Q36" s="73"/>
      <c r="R36" s="73"/>
      <c r="S36" s="73"/>
      <c r="T36" s="73" t="s">
        <v>161</v>
      </c>
      <c r="U36" s="73"/>
      <c r="V36" s="73">
        <v>1</v>
      </c>
      <c r="W36" s="73"/>
      <c r="X36" s="73" t="s">
        <v>143</v>
      </c>
      <c r="Y36" s="73"/>
      <c r="Z36" s="73"/>
      <c r="AA36" s="73"/>
      <c r="AB36" s="73"/>
      <c r="AC36" s="73" t="s">
        <v>162</v>
      </c>
      <c r="AD36" s="73">
        <v>5</v>
      </c>
      <c r="AE36" s="73">
        <v>2</v>
      </c>
      <c r="AF36" s="73"/>
      <c r="AG36" s="73"/>
      <c r="AH36" s="73" t="s">
        <v>143</v>
      </c>
      <c r="AI36" s="73"/>
      <c r="AJ36" s="73"/>
    </row>
    <row r="37" spans="1:36" x14ac:dyDescent="0.25">
      <c r="A37" s="73" t="s">
        <v>91</v>
      </c>
      <c r="B37" s="73" t="s">
        <v>163</v>
      </c>
      <c r="C37" s="73">
        <v>-5</v>
      </c>
      <c r="D37" s="73"/>
      <c r="E37" s="73" t="s">
        <v>143</v>
      </c>
      <c r="F37" s="73"/>
      <c r="G37" s="73"/>
      <c r="H37" s="73"/>
      <c r="I37" s="73"/>
      <c r="J37" s="73"/>
      <c r="K37" s="73" t="s">
        <v>164</v>
      </c>
      <c r="L37" s="73"/>
      <c r="M37" s="73"/>
      <c r="N37" s="73"/>
      <c r="O37" s="73"/>
      <c r="P37" s="73"/>
      <c r="Q37" s="73"/>
      <c r="R37" s="73"/>
      <c r="S37" s="73"/>
      <c r="T37" s="73" t="s">
        <v>165</v>
      </c>
      <c r="U37" s="73">
        <v>5</v>
      </c>
      <c r="V37" s="73">
        <v>1</v>
      </c>
      <c r="W37" s="73"/>
      <c r="X37" s="73" t="s">
        <v>143</v>
      </c>
      <c r="Y37" s="73"/>
      <c r="Z37" s="73"/>
      <c r="AA37" s="73"/>
      <c r="AB37" s="73"/>
      <c r="AC37" s="73" t="s">
        <v>166</v>
      </c>
      <c r="AD37" s="73">
        <v>10</v>
      </c>
      <c r="AE37" s="73">
        <v>3</v>
      </c>
      <c r="AF37" s="73"/>
      <c r="AG37" s="73"/>
      <c r="AH37" s="73" t="s">
        <v>143</v>
      </c>
      <c r="AI37" s="73"/>
      <c r="AJ37" s="73"/>
    </row>
    <row r="38" spans="1:36" x14ac:dyDescent="0.25">
      <c r="A38" s="73" t="s">
        <v>92</v>
      </c>
      <c r="B38" s="73" t="s">
        <v>167</v>
      </c>
      <c r="C38" s="73">
        <v>-10</v>
      </c>
      <c r="D38" s="73">
        <v>-2</v>
      </c>
      <c r="E38" s="73" t="s">
        <v>143</v>
      </c>
      <c r="F38" s="73"/>
      <c r="G38" s="73"/>
      <c r="H38" s="73"/>
      <c r="I38" s="73"/>
      <c r="J38" s="73"/>
      <c r="K38" s="73" t="s">
        <v>168</v>
      </c>
      <c r="L38" s="73"/>
      <c r="M38" s="73"/>
      <c r="N38" s="73"/>
      <c r="O38" s="73" t="s">
        <v>143</v>
      </c>
      <c r="P38" s="73"/>
      <c r="Q38" s="73"/>
      <c r="R38" s="73"/>
      <c r="S38" s="73"/>
      <c r="T38" s="73" t="s">
        <v>169</v>
      </c>
      <c r="U38" s="73">
        <v>15</v>
      </c>
      <c r="V38" s="73">
        <v>7</v>
      </c>
      <c r="W38" s="73"/>
      <c r="X38" s="73"/>
      <c r="Y38" s="73"/>
      <c r="Z38" s="73"/>
      <c r="AA38" s="73"/>
      <c r="AB38" s="73"/>
      <c r="AC38" s="73" t="s">
        <v>170</v>
      </c>
      <c r="AD38" s="73"/>
      <c r="AE38" s="73"/>
      <c r="AF38" s="73"/>
      <c r="AG38" s="73"/>
      <c r="AH38" s="73"/>
      <c r="AI38" s="73"/>
      <c r="AJ38" s="73"/>
    </row>
    <row r="39" spans="1:36" x14ac:dyDescent="0.25">
      <c r="A39" s="73" t="s">
        <v>93</v>
      </c>
      <c r="B39" s="73" t="s">
        <v>171</v>
      </c>
      <c r="C39" s="73">
        <v>-5</v>
      </c>
      <c r="D39" s="73">
        <v>-1</v>
      </c>
      <c r="E39" s="73"/>
      <c r="F39" s="73" t="s">
        <v>143</v>
      </c>
      <c r="G39" s="73"/>
      <c r="H39" s="73"/>
      <c r="I39" s="73"/>
      <c r="J39" s="73"/>
      <c r="K39" s="73" t="s">
        <v>172</v>
      </c>
      <c r="L39" s="73"/>
      <c r="M39" s="73"/>
      <c r="N39" s="73"/>
      <c r="O39" s="73"/>
      <c r="P39" s="73"/>
      <c r="Q39" s="73"/>
      <c r="R39" s="73"/>
      <c r="S39" s="73"/>
      <c r="T39" s="73" t="s">
        <v>173</v>
      </c>
      <c r="U39" s="73">
        <v>-5</v>
      </c>
      <c r="V39" s="73">
        <v>-1</v>
      </c>
      <c r="W39" s="73"/>
      <c r="X39" s="73"/>
      <c r="Y39" s="73" t="s">
        <v>174</v>
      </c>
      <c r="Z39" s="73"/>
      <c r="AA39" s="73"/>
      <c r="AB39" s="73"/>
      <c r="AC39" s="73" t="s">
        <v>175</v>
      </c>
      <c r="AD39" s="73">
        <v>5</v>
      </c>
      <c r="AE39" s="73">
        <v>1</v>
      </c>
      <c r="AF39" s="73"/>
      <c r="AG39" s="73"/>
      <c r="AH39" s="73" t="s">
        <v>174</v>
      </c>
      <c r="AI39" s="73"/>
      <c r="AJ39" s="73"/>
    </row>
    <row r="40" spans="1:36" x14ac:dyDescent="0.25">
      <c r="A40" s="73" t="s">
        <v>94</v>
      </c>
      <c r="B40" s="73" t="s">
        <v>176</v>
      </c>
      <c r="C40" s="73">
        <v>-10</v>
      </c>
      <c r="D40" s="73"/>
      <c r="E40" s="73"/>
      <c r="F40" s="73"/>
      <c r="G40" s="73"/>
      <c r="H40" s="73"/>
      <c r="I40" s="73"/>
      <c r="J40" s="73"/>
      <c r="K40" s="73" t="s">
        <v>177</v>
      </c>
      <c r="L40" s="73"/>
      <c r="M40" s="73"/>
      <c r="N40" s="73"/>
      <c r="O40" s="73"/>
      <c r="P40" s="73"/>
      <c r="Q40" s="73"/>
      <c r="R40" s="73"/>
      <c r="S40" s="73"/>
      <c r="T40" s="73" t="s">
        <v>178</v>
      </c>
      <c r="U40" s="73">
        <v>5</v>
      </c>
      <c r="V40" s="73">
        <v>1</v>
      </c>
      <c r="W40" s="73"/>
      <c r="X40" s="73"/>
      <c r="Y40" s="73"/>
      <c r="Z40" s="73"/>
      <c r="AA40" s="73"/>
      <c r="AB40" s="73"/>
      <c r="AC40" s="73" t="s">
        <v>179</v>
      </c>
      <c r="AD40" s="73"/>
      <c r="AE40" s="73"/>
      <c r="AF40" s="73"/>
      <c r="AG40" s="73"/>
      <c r="AH40" s="73"/>
      <c r="AI40" s="73"/>
      <c r="AJ40" s="73"/>
    </row>
    <row r="41" spans="1:36" x14ac:dyDescent="0.25">
      <c r="A41" s="73" t="s">
        <v>95</v>
      </c>
      <c r="B41" s="73" t="s">
        <v>180</v>
      </c>
      <c r="C41" s="73">
        <v>-5</v>
      </c>
      <c r="D41" s="73">
        <v>-3</v>
      </c>
      <c r="E41" s="73"/>
      <c r="F41" s="73"/>
      <c r="G41" s="73"/>
      <c r="H41" s="73"/>
      <c r="I41" s="73"/>
      <c r="J41" s="73"/>
      <c r="K41" s="73" t="s">
        <v>181</v>
      </c>
      <c r="L41" s="73"/>
      <c r="M41" s="73">
        <v>-1</v>
      </c>
      <c r="N41" s="73"/>
      <c r="O41" s="73"/>
      <c r="P41" s="73"/>
      <c r="Q41" s="73"/>
      <c r="R41" s="73"/>
      <c r="S41" s="73"/>
      <c r="T41" s="73" t="s">
        <v>182</v>
      </c>
      <c r="U41" s="73">
        <v>10</v>
      </c>
      <c r="V41" s="73">
        <v>3</v>
      </c>
      <c r="W41" s="73"/>
      <c r="X41" s="73"/>
      <c r="Y41" s="73"/>
      <c r="Z41" s="73"/>
      <c r="AA41" s="73"/>
      <c r="AB41" s="73"/>
      <c r="AC41" s="73" t="s">
        <v>183</v>
      </c>
      <c r="AD41" s="73">
        <v>10</v>
      </c>
      <c r="AE41" s="73">
        <v>7</v>
      </c>
      <c r="AF41" s="73"/>
      <c r="AG41" s="73"/>
      <c r="AH41" s="73" t="s">
        <v>143</v>
      </c>
      <c r="AI41" s="73"/>
      <c r="AJ41" s="73"/>
    </row>
    <row r="42" spans="1:36" x14ac:dyDescent="0.25">
      <c r="A42" s="73" t="s">
        <v>96</v>
      </c>
      <c r="B42" s="73" t="s">
        <v>184</v>
      </c>
      <c r="C42" s="73">
        <v>-10</v>
      </c>
      <c r="D42" s="73"/>
      <c r="E42" s="73"/>
      <c r="F42" s="73"/>
      <c r="G42" s="73"/>
      <c r="H42" s="73"/>
      <c r="I42" s="73"/>
      <c r="J42" s="73"/>
      <c r="K42" s="73" t="s">
        <v>185</v>
      </c>
      <c r="L42" s="73"/>
      <c r="M42" s="73"/>
      <c r="N42" s="73"/>
      <c r="O42" s="73"/>
      <c r="P42" s="73"/>
      <c r="Q42" s="73"/>
      <c r="R42" s="73"/>
      <c r="S42" s="73"/>
      <c r="T42" s="73" t="s">
        <v>186</v>
      </c>
      <c r="U42" s="73">
        <v>5</v>
      </c>
      <c r="V42" s="73">
        <v>5</v>
      </c>
      <c r="W42" s="73"/>
      <c r="X42" s="73" t="s">
        <v>143</v>
      </c>
      <c r="Y42" s="73"/>
      <c r="Z42" s="73"/>
      <c r="AA42" s="73"/>
      <c r="AB42" s="73"/>
      <c r="AC42" s="73" t="s">
        <v>187</v>
      </c>
      <c r="AD42" s="73">
        <v>15</v>
      </c>
      <c r="AE42" s="73"/>
      <c r="AF42" s="73"/>
      <c r="AG42" s="73"/>
      <c r="AH42" s="73"/>
      <c r="AI42" s="73"/>
      <c r="AJ42" s="73"/>
    </row>
    <row r="43" spans="1:36" x14ac:dyDescent="0.25">
      <c r="A43" s="73" t="s">
        <v>97</v>
      </c>
      <c r="B43" s="73" t="s">
        <v>188</v>
      </c>
      <c r="C43" s="73">
        <v>-5</v>
      </c>
      <c r="D43" s="73"/>
      <c r="E43" s="73"/>
      <c r="F43" s="73"/>
      <c r="G43" s="73"/>
      <c r="H43" s="73"/>
      <c r="I43" s="73"/>
      <c r="J43" s="73"/>
      <c r="K43" s="73" t="s">
        <v>189</v>
      </c>
      <c r="L43" s="73"/>
      <c r="M43" s="73"/>
      <c r="N43" s="73"/>
      <c r="O43" s="73"/>
      <c r="P43" s="73"/>
      <c r="Q43" s="73"/>
      <c r="R43" s="73"/>
      <c r="S43" s="73"/>
      <c r="T43" s="73" t="s">
        <v>190</v>
      </c>
      <c r="U43" s="73">
        <v>10</v>
      </c>
      <c r="V43" s="73"/>
      <c r="W43" s="73"/>
      <c r="X43" s="73"/>
      <c r="Y43" s="73"/>
      <c r="Z43" s="73"/>
      <c r="AA43" s="73"/>
      <c r="AB43" s="73"/>
      <c r="AC43" s="73" t="s">
        <v>191</v>
      </c>
      <c r="AD43" s="73">
        <v>5</v>
      </c>
      <c r="AE43" s="73"/>
      <c r="AF43" s="73"/>
      <c r="AG43" s="73" t="s">
        <v>143</v>
      </c>
      <c r="AH43" s="73" t="s">
        <v>143</v>
      </c>
      <c r="AI43" s="73"/>
      <c r="AJ43" s="73"/>
    </row>
    <row r="44" spans="1:36" x14ac:dyDescent="0.25">
      <c r="A44" s="73" t="s">
        <v>98</v>
      </c>
      <c r="B44" s="73" t="s">
        <v>192</v>
      </c>
      <c r="C44" s="73"/>
      <c r="D44" s="73"/>
      <c r="E44" s="73"/>
      <c r="F44" s="73"/>
      <c r="G44" s="73"/>
      <c r="H44" s="73"/>
      <c r="I44" s="73"/>
      <c r="J44" s="73"/>
      <c r="K44" s="73" t="s">
        <v>193</v>
      </c>
      <c r="L44" s="73">
        <v>-5</v>
      </c>
      <c r="M44" s="73"/>
      <c r="N44" s="73"/>
      <c r="O44" s="73"/>
      <c r="P44" s="73"/>
      <c r="Q44" s="73"/>
      <c r="R44" s="73"/>
      <c r="S44" s="73"/>
      <c r="T44" s="73" t="s">
        <v>194</v>
      </c>
      <c r="U44" s="73">
        <v>15</v>
      </c>
      <c r="V44" s="73"/>
      <c r="W44" s="73"/>
      <c r="X44" s="73"/>
      <c r="Y44" s="73" t="s">
        <v>143</v>
      </c>
      <c r="Z44" s="73"/>
      <c r="AA44" s="73"/>
      <c r="AB44" s="73"/>
      <c r="AC44" s="73" t="s">
        <v>195</v>
      </c>
      <c r="AD44" s="73"/>
      <c r="AE44" s="73"/>
      <c r="AF44" s="73"/>
      <c r="AG44" s="73"/>
      <c r="AH44" s="73"/>
      <c r="AI44" s="73"/>
      <c r="AJ44" s="73"/>
    </row>
    <row r="45" spans="1:36" x14ac:dyDescent="0.25">
      <c r="A45" s="73" t="s">
        <v>99</v>
      </c>
      <c r="B45" s="73" t="s">
        <v>196</v>
      </c>
      <c r="C45" s="73">
        <v>-5</v>
      </c>
      <c r="D45" s="73">
        <v>-3</v>
      </c>
      <c r="E45" s="73" t="s">
        <v>143</v>
      </c>
      <c r="F45" s="73"/>
      <c r="G45" s="73"/>
      <c r="H45" s="73"/>
      <c r="I45" s="73"/>
      <c r="J45" s="73"/>
      <c r="K45" s="73" t="s">
        <v>197</v>
      </c>
      <c r="L45" s="73">
        <v>-5</v>
      </c>
      <c r="M45" s="73">
        <v>-1</v>
      </c>
      <c r="N45" s="73"/>
      <c r="O45" s="73" t="s">
        <v>143</v>
      </c>
      <c r="P45" s="73"/>
      <c r="Q45" s="73"/>
      <c r="R45" s="73"/>
      <c r="S45" s="73"/>
      <c r="T45" s="73" t="s">
        <v>198</v>
      </c>
      <c r="U45" s="73">
        <v>5</v>
      </c>
      <c r="V45" s="73">
        <v>3</v>
      </c>
      <c r="W45" s="73"/>
      <c r="X45" s="73" t="s">
        <v>143</v>
      </c>
      <c r="Y45" s="73"/>
      <c r="Z45" s="73"/>
      <c r="AA45" s="73"/>
      <c r="AB45" s="73"/>
      <c r="AC45" s="73" t="s">
        <v>199</v>
      </c>
      <c r="AD45" s="73"/>
      <c r="AE45" s="73"/>
      <c r="AF45" s="73"/>
      <c r="AG45" s="73"/>
      <c r="AH45" s="73"/>
      <c r="AI45" s="73"/>
      <c r="AJ45" s="73"/>
    </row>
    <row r="46" spans="1:36" x14ac:dyDescent="0.25">
      <c r="A46" s="73" t="s">
        <v>100</v>
      </c>
      <c r="B46" s="73" t="s">
        <v>200</v>
      </c>
      <c r="C46" s="73"/>
      <c r="D46" s="73">
        <v>-2</v>
      </c>
      <c r="E46" s="73" t="s">
        <v>143</v>
      </c>
      <c r="F46" s="73"/>
      <c r="G46" s="73"/>
      <c r="H46" s="73"/>
      <c r="I46" s="73"/>
      <c r="J46" s="73"/>
      <c r="K46" s="73" t="s">
        <v>201</v>
      </c>
      <c r="L46" s="73"/>
      <c r="M46" s="73"/>
      <c r="N46" s="73"/>
      <c r="O46" s="73"/>
      <c r="P46" s="73"/>
      <c r="Q46" s="73"/>
      <c r="R46" s="73"/>
      <c r="S46" s="73"/>
      <c r="T46" s="73" t="s">
        <v>202</v>
      </c>
      <c r="U46" s="73"/>
      <c r="V46" s="73">
        <v>3</v>
      </c>
      <c r="W46" s="73"/>
      <c r="X46" s="73" t="s">
        <v>143</v>
      </c>
      <c r="Y46" s="73"/>
      <c r="Z46" s="73"/>
      <c r="AA46" s="73"/>
      <c r="AB46" s="73"/>
      <c r="AC46" s="73" t="s">
        <v>203</v>
      </c>
      <c r="AD46" s="73">
        <v>10</v>
      </c>
      <c r="AE46" s="73"/>
      <c r="AF46" s="73"/>
      <c r="AG46" s="73"/>
      <c r="AH46" s="73" t="s">
        <v>143</v>
      </c>
      <c r="AI46" s="73"/>
      <c r="AJ46" s="73"/>
    </row>
    <row r="47" spans="1:36" x14ac:dyDescent="0.25">
      <c r="A47" s="73" t="s">
        <v>101</v>
      </c>
      <c r="B47" s="73" t="s">
        <v>204</v>
      </c>
      <c r="C47" s="73"/>
      <c r="D47" s="73">
        <v>-1</v>
      </c>
      <c r="E47" s="73" t="s">
        <v>143</v>
      </c>
      <c r="F47" s="73"/>
      <c r="G47" s="73"/>
      <c r="H47" s="73"/>
      <c r="I47" s="73"/>
      <c r="J47" s="73"/>
      <c r="K47" s="73" t="s">
        <v>205</v>
      </c>
      <c r="L47" s="73"/>
      <c r="M47" s="73"/>
      <c r="N47" s="73"/>
      <c r="O47" s="73" t="s">
        <v>143</v>
      </c>
      <c r="P47" s="73"/>
      <c r="Q47" s="73"/>
      <c r="R47" s="73"/>
      <c r="S47" s="73"/>
      <c r="T47" s="73" t="s">
        <v>206</v>
      </c>
      <c r="U47" s="73">
        <v>5</v>
      </c>
      <c r="V47" s="73">
        <v>1</v>
      </c>
      <c r="W47" s="73"/>
      <c r="X47" s="73" t="s">
        <v>143</v>
      </c>
      <c r="Y47" s="73"/>
      <c r="Z47" s="73"/>
      <c r="AA47" s="73"/>
      <c r="AB47" s="73"/>
      <c r="AC47" s="73" t="s">
        <v>207</v>
      </c>
      <c r="AD47" s="73">
        <v>10</v>
      </c>
      <c r="AE47" s="73">
        <v>3</v>
      </c>
      <c r="AF47" s="73"/>
      <c r="AG47" s="73"/>
      <c r="AH47" s="73" t="s">
        <v>143</v>
      </c>
      <c r="AI47" s="73"/>
      <c r="AJ47" s="73"/>
    </row>
    <row r="48" spans="1:36" x14ac:dyDescent="0.25">
      <c r="A48" s="73" t="s">
        <v>108</v>
      </c>
      <c r="B48" s="73" t="s">
        <v>208</v>
      </c>
      <c r="C48" s="73">
        <v>-5</v>
      </c>
      <c r="D48" s="73">
        <v>-3</v>
      </c>
      <c r="E48" s="73" t="s">
        <v>143</v>
      </c>
      <c r="F48" s="73"/>
      <c r="G48" s="73"/>
      <c r="H48" s="73"/>
      <c r="I48" s="73"/>
      <c r="J48" s="73"/>
      <c r="K48" s="73" t="s">
        <v>209</v>
      </c>
      <c r="L48" s="73"/>
      <c r="M48" s="73">
        <v>-1</v>
      </c>
      <c r="N48" s="73"/>
      <c r="O48" s="73"/>
      <c r="P48" s="73"/>
      <c r="Q48" s="73"/>
      <c r="R48" s="73"/>
      <c r="S48" s="73"/>
      <c r="T48" s="73" t="s">
        <v>210</v>
      </c>
      <c r="U48" s="73"/>
      <c r="V48" s="73">
        <v>1</v>
      </c>
      <c r="W48" s="73"/>
      <c r="X48" s="73" t="s">
        <v>143</v>
      </c>
      <c r="Y48" s="73" t="s">
        <v>143</v>
      </c>
      <c r="Z48" s="73"/>
      <c r="AA48" s="73"/>
      <c r="AB48" s="73"/>
      <c r="AC48" s="73" t="s">
        <v>211</v>
      </c>
      <c r="AD48" s="73">
        <v>5</v>
      </c>
      <c r="AE48" s="73">
        <v>3</v>
      </c>
      <c r="AF48" s="73"/>
      <c r="AG48" s="73"/>
      <c r="AH48" s="73" t="s">
        <v>143</v>
      </c>
      <c r="AI48" s="73"/>
      <c r="AJ48" s="73"/>
    </row>
    <row r="49" spans="1:36" x14ac:dyDescent="0.25">
      <c r="A49" s="73" t="s">
        <v>102</v>
      </c>
      <c r="B49" s="73" t="s">
        <v>212</v>
      </c>
      <c r="C49" s="73"/>
      <c r="D49" s="73">
        <v>-3</v>
      </c>
      <c r="E49" s="73"/>
      <c r="F49" s="73"/>
      <c r="G49" s="73"/>
      <c r="H49" s="73"/>
      <c r="I49" s="73"/>
      <c r="J49" s="73"/>
      <c r="K49" s="73" t="s">
        <v>213</v>
      </c>
      <c r="L49" s="73"/>
      <c r="M49" s="73">
        <v>-1</v>
      </c>
      <c r="N49" s="73"/>
      <c r="O49" s="73"/>
      <c r="P49" s="73"/>
      <c r="Q49" s="73"/>
      <c r="R49" s="73"/>
      <c r="S49" s="73"/>
      <c r="T49" s="73" t="s">
        <v>214</v>
      </c>
      <c r="U49" s="73"/>
      <c r="V49" s="73">
        <v>3</v>
      </c>
      <c r="W49" s="73"/>
      <c r="X49" s="73"/>
      <c r="Y49" s="73"/>
      <c r="Z49" s="73"/>
      <c r="AA49" s="73"/>
      <c r="AB49" s="73"/>
      <c r="AC49" s="73" t="s">
        <v>215</v>
      </c>
      <c r="AD49" s="73">
        <v>5</v>
      </c>
      <c r="AE49" s="73">
        <v>10</v>
      </c>
      <c r="AF49" s="73"/>
      <c r="AG49" s="73"/>
      <c r="AH49" s="73"/>
      <c r="AI49" s="73"/>
      <c r="AJ49" s="73"/>
    </row>
    <row r="50" spans="1:36" x14ac:dyDescent="0.25">
      <c r="A50" s="73" t="s">
        <v>103</v>
      </c>
      <c r="B50" s="73" t="s">
        <v>216</v>
      </c>
      <c r="C50" s="73">
        <v>-5</v>
      </c>
      <c r="D50" s="73"/>
      <c r="E50" s="73" t="s">
        <v>143</v>
      </c>
      <c r="F50" s="73"/>
      <c r="G50" s="73"/>
      <c r="H50" s="73"/>
      <c r="I50" s="73"/>
      <c r="J50" s="73"/>
      <c r="K50" s="73" t="s">
        <v>217</v>
      </c>
      <c r="L50" s="73"/>
      <c r="M50" s="73"/>
      <c r="N50" s="73"/>
      <c r="O50" s="73"/>
      <c r="P50" s="73"/>
      <c r="Q50" s="73"/>
      <c r="R50" s="73"/>
      <c r="S50" s="73"/>
      <c r="T50" s="73" t="s">
        <v>218</v>
      </c>
      <c r="U50" s="73">
        <v>10</v>
      </c>
      <c r="V50" s="73"/>
      <c r="W50" s="73"/>
      <c r="X50" s="73"/>
      <c r="Y50" s="73"/>
      <c r="Z50" s="73"/>
      <c r="AA50" s="73"/>
      <c r="AB50" s="73"/>
      <c r="AC50" s="73" t="s">
        <v>219</v>
      </c>
      <c r="AD50" s="73">
        <v>5</v>
      </c>
      <c r="AE50" s="73"/>
      <c r="AF50" s="73"/>
      <c r="AG50" s="73"/>
      <c r="AH50" s="73" t="s">
        <v>143</v>
      </c>
      <c r="AI50" s="73"/>
      <c r="AJ50" s="73"/>
    </row>
    <row r="51" spans="1:36" x14ac:dyDescent="0.25">
      <c r="A51" s="73" t="s">
        <v>104</v>
      </c>
      <c r="B51" s="73" t="s">
        <v>220</v>
      </c>
      <c r="C51" s="73"/>
      <c r="D51" s="73"/>
      <c r="E51" s="73" t="s">
        <v>143</v>
      </c>
      <c r="F51" s="73"/>
      <c r="G51" s="73"/>
      <c r="H51" s="73"/>
      <c r="I51" s="73"/>
      <c r="J51" s="73"/>
      <c r="K51" s="73" t="s">
        <v>221</v>
      </c>
      <c r="L51" s="73"/>
      <c r="M51" s="73"/>
      <c r="N51" s="73"/>
      <c r="O51" s="73" t="s">
        <v>143</v>
      </c>
      <c r="P51" s="73"/>
      <c r="Q51" s="73"/>
      <c r="R51" s="73"/>
      <c r="S51" s="73"/>
      <c r="T51" s="73" t="s">
        <v>222</v>
      </c>
      <c r="U51" s="73"/>
      <c r="V51" s="73"/>
      <c r="W51" s="73"/>
      <c r="X51" s="73"/>
      <c r="Y51" s="73" t="s">
        <v>143</v>
      </c>
      <c r="Z51" s="73"/>
      <c r="AA51" s="73"/>
      <c r="AB51" s="73"/>
      <c r="AC51" s="73" t="s">
        <v>223</v>
      </c>
      <c r="AD51" s="73"/>
      <c r="AE51" s="73">
        <v>3</v>
      </c>
      <c r="AF51" s="73"/>
      <c r="AG51" s="73"/>
      <c r="AH51" s="73" t="s">
        <v>143</v>
      </c>
      <c r="AI51" s="73"/>
      <c r="AJ51" s="73"/>
    </row>
    <row r="52" spans="1:36" x14ac:dyDescent="0.25">
      <c r="A52" s="73" t="s">
        <v>105</v>
      </c>
      <c r="B52" s="73" t="s">
        <v>224</v>
      </c>
      <c r="C52" s="73">
        <v>-5</v>
      </c>
      <c r="D52" s="73">
        <v>-3</v>
      </c>
      <c r="E52" s="73"/>
      <c r="F52" s="73"/>
      <c r="G52" s="73"/>
      <c r="H52" s="73"/>
      <c r="I52" s="73"/>
      <c r="J52" s="73"/>
      <c r="K52" s="73" t="s">
        <v>225</v>
      </c>
      <c r="L52" s="73"/>
      <c r="M52" s="73">
        <v>-1</v>
      </c>
      <c r="N52" s="73"/>
      <c r="O52" s="73"/>
      <c r="P52" s="73"/>
      <c r="Q52" s="73"/>
      <c r="R52" s="73"/>
      <c r="S52" s="73"/>
      <c r="T52" s="73" t="s">
        <v>226</v>
      </c>
      <c r="U52" s="73">
        <v>5</v>
      </c>
      <c r="V52" s="73">
        <v>3</v>
      </c>
      <c r="W52" s="73"/>
      <c r="X52" s="73"/>
      <c r="Y52" s="73"/>
      <c r="Z52" s="73"/>
      <c r="AA52" s="73"/>
      <c r="AB52" s="73"/>
      <c r="AC52" s="73" t="s">
        <v>227</v>
      </c>
      <c r="AD52" s="73">
        <v>10</v>
      </c>
      <c r="AE52" s="73">
        <v>7</v>
      </c>
      <c r="AF52" s="73"/>
      <c r="AG52" s="73"/>
      <c r="AH52" s="73"/>
      <c r="AI52" s="73"/>
      <c r="AJ52" s="73"/>
    </row>
    <row r="53" spans="1:36" x14ac:dyDescent="0.25">
      <c r="A53" s="73" t="s">
        <v>106</v>
      </c>
      <c r="B53" s="73" t="s">
        <v>228</v>
      </c>
      <c r="C53" s="73">
        <v>-10</v>
      </c>
      <c r="D53" s="73">
        <v>1</v>
      </c>
      <c r="E53" s="73" t="s">
        <v>143</v>
      </c>
      <c r="F53" s="73"/>
      <c r="G53" s="73"/>
      <c r="H53" s="73"/>
      <c r="I53" s="73"/>
      <c r="J53" s="73"/>
      <c r="K53" s="73" t="s">
        <v>229</v>
      </c>
      <c r="L53" s="73">
        <v>-5</v>
      </c>
      <c r="M53" s="73">
        <v>1</v>
      </c>
      <c r="N53" s="73"/>
      <c r="O53" s="73"/>
      <c r="P53" s="73"/>
      <c r="Q53" s="73"/>
      <c r="R53" s="73"/>
      <c r="S53" s="73"/>
      <c r="T53" s="73" t="s">
        <v>230</v>
      </c>
      <c r="U53" s="73">
        <v>5</v>
      </c>
      <c r="V53" s="73">
        <v>3</v>
      </c>
      <c r="W53" s="73"/>
      <c r="X53" s="73"/>
      <c r="Y53" s="73" t="s">
        <v>143</v>
      </c>
      <c r="Z53" s="73"/>
      <c r="AA53" s="73"/>
      <c r="AB53" s="73"/>
      <c r="AC53" s="73" t="s">
        <v>231</v>
      </c>
      <c r="AD53" s="73"/>
      <c r="AE53" s="73"/>
      <c r="AF53" s="73"/>
      <c r="AG53" s="73"/>
      <c r="AH53" s="73"/>
      <c r="AI53" s="73"/>
      <c r="AJ53" s="73"/>
    </row>
    <row r="54" spans="1:36" x14ac:dyDescent="0.25">
      <c r="A54" s="73" t="s">
        <v>107</v>
      </c>
      <c r="B54" s="73" t="s">
        <v>232</v>
      </c>
      <c r="C54" s="73">
        <v>-5</v>
      </c>
      <c r="D54" s="73">
        <v>-2</v>
      </c>
      <c r="E54" s="73" t="s">
        <v>143</v>
      </c>
      <c r="F54" s="73"/>
      <c r="G54" s="73"/>
      <c r="H54" s="73"/>
      <c r="I54" s="73"/>
      <c r="J54" s="73"/>
      <c r="K54" s="73" t="s">
        <v>233</v>
      </c>
      <c r="L54" s="73"/>
      <c r="M54" s="73"/>
      <c r="N54" s="73" t="s">
        <v>143</v>
      </c>
      <c r="O54" s="73"/>
      <c r="P54" s="73"/>
      <c r="Q54" s="73"/>
      <c r="R54" s="73"/>
      <c r="S54" s="73"/>
      <c r="T54" s="73" t="s">
        <v>234</v>
      </c>
      <c r="U54" s="73"/>
      <c r="V54" s="73">
        <v>1</v>
      </c>
      <c r="W54" s="73"/>
      <c r="X54" s="73" t="s">
        <v>143</v>
      </c>
      <c r="Y54" s="73"/>
      <c r="Z54" s="73"/>
      <c r="AA54" s="73"/>
      <c r="AB54" s="73"/>
      <c r="AC54" s="73" t="s">
        <v>235</v>
      </c>
      <c r="AD54" s="73">
        <v>5</v>
      </c>
      <c r="AE54" s="73">
        <v>2</v>
      </c>
      <c r="AF54" s="73"/>
      <c r="AG54" s="73"/>
      <c r="AH54" s="73" t="s">
        <v>143</v>
      </c>
      <c r="AI54" s="73"/>
      <c r="AJ54" s="73"/>
    </row>
    <row r="55" spans="1:36" x14ac:dyDescent="0.25">
      <c r="A55" s="73" t="s">
        <v>109</v>
      </c>
      <c r="B55" s="73" t="s">
        <v>236</v>
      </c>
      <c r="C55" s="73">
        <v>75</v>
      </c>
      <c r="D55" s="73">
        <f>ROUNDUP(Simulation!E1/4000,0)</f>
        <v>0</v>
      </c>
      <c r="E55" s="73"/>
      <c r="F55" s="73"/>
      <c r="G55" s="73"/>
      <c r="H55" s="73"/>
      <c r="I55" s="73"/>
      <c r="J55" s="73"/>
      <c r="K55" s="73" t="s">
        <v>237</v>
      </c>
      <c r="L55" s="73">
        <v>85</v>
      </c>
      <c r="M55" s="73">
        <f>ROUNDUP(Simulation!E1/2000,0)</f>
        <v>0</v>
      </c>
      <c r="N55" s="73"/>
      <c r="O55" s="73"/>
      <c r="P55" s="73"/>
      <c r="Q55" s="73"/>
      <c r="R55" s="73"/>
      <c r="S55" s="73"/>
      <c r="T55" s="73" t="s">
        <v>238</v>
      </c>
      <c r="U55" s="73">
        <v>100</v>
      </c>
      <c r="V55" s="73">
        <f>ROUNDUP(Simulation!E1/1000,0)</f>
        <v>0</v>
      </c>
      <c r="W55" s="73"/>
      <c r="X55" s="73"/>
      <c r="Y55" s="73" t="s">
        <v>143</v>
      </c>
      <c r="Z55" s="73"/>
      <c r="AA55" s="73"/>
      <c r="AB55" s="73"/>
      <c r="AC55" s="73" t="s">
        <v>239</v>
      </c>
      <c r="AD55" s="73"/>
      <c r="AE55" s="73"/>
      <c r="AF55" s="73"/>
      <c r="AG55" s="73"/>
      <c r="AH55" s="73"/>
      <c r="AI55" s="73"/>
      <c r="AJ55" s="73"/>
    </row>
    <row r="56" spans="1:36" x14ac:dyDescent="0.25">
      <c r="A56" s="73" t="s">
        <v>240</v>
      </c>
      <c r="B56" s="73" t="s">
        <v>241</v>
      </c>
      <c r="C56" s="73">
        <v>-10</v>
      </c>
      <c r="D56" s="73"/>
      <c r="E56" s="73"/>
      <c r="F56" s="73"/>
      <c r="G56" s="73"/>
      <c r="H56" s="73"/>
      <c r="I56" s="73"/>
      <c r="J56" s="73"/>
      <c r="K56" s="73" t="s">
        <v>242</v>
      </c>
      <c r="L56" s="73"/>
      <c r="M56" s="73"/>
      <c r="N56" s="73"/>
      <c r="O56" s="73"/>
      <c r="P56" s="73"/>
      <c r="Q56" s="73"/>
      <c r="R56" s="73"/>
      <c r="S56" s="73"/>
      <c r="T56" s="73" t="s">
        <v>243</v>
      </c>
      <c r="U56" s="73"/>
      <c r="V56" s="73"/>
      <c r="W56" s="73"/>
      <c r="X56" s="73"/>
      <c r="Y56" s="73"/>
      <c r="Z56" s="73"/>
      <c r="AA56" s="73"/>
      <c r="AB56" s="73"/>
      <c r="AC56" s="75" t="s">
        <v>244</v>
      </c>
      <c r="AD56" s="73"/>
      <c r="AE56" s="73"/>
      <c r="AF56" s="73"/>
      <c r="AG56" s="73"/>
      <c r="AH56" s="73"/>
      <c r="AI56" s="73"/>
      <c r="AJ56" s="73"/>
    </row>
    <row r="57" spans="1:36" x14ac:dyDescent="0.25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</row>
    <row r="58" spans="1:36" x14ac:dyDescent="0.25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</row>
    <row r="59" spans="1:36" x14ac:dyDescent="0.25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</row>
    <row r="60" spans="1:36" x14ac:dyDescent="0.25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</row>
    <row r="61" spans="1:36" x14ac:dyDescent="0.25">
      <c r="A61" t="s">
        <v>245</v>
      </c>
    </row>
    <row r="62" spans="1:36" x14ac:dyDescent="0.25">
      <c r="A62" t="s">
        <v>246</v>
      </c>
      <c r="B62" t="s">
        <v>247</v>
      </c>
      <c r="C62" t="s">
        <v>248</v>
      </c>
    </row>
    <row r="63" spans="1:36" x14ac:dyDescent="0.25">
      <c r="A63" s="74">
        <v>3</v>
      </c>
      <c r="B63" s="74">
        <v>1</v>
      </c>
      <c r="C63" s="74">
        <v>13</v>
      </c>
    </row>
    <row r="64" spans="1:36" x14ac:dyDescent="0.25">
      <c r="A64" s="74">
        <v>83</v>
      </c>
      <c r="B64" s="74">
        <v>6</v>
      </c>
      <c r="C64" s="74">
        <v>12</v>
      </c>
    </row>
    <row r="65" spans="1:3" x14ac:dyDescent="0.25">
      <c r="A65" s="74">
        <v>42</v>
      </c>
      <c r="B65" s="74">
        <v>19</v>
      </c>
      <c r="C65" s="74">
        <v>3</v>
      </c>
    </row>
    <row r="66" spans="1:3" x14ac:dyDescent="0.25">
      <c r="A66" s="74">
        <v>71</v>
      </c>
      <c r="B66" s="74">
        <v>6</v>
      </c>
      <c r="C66" s="74">
        <v>3</v>
      </c>
    </row>
    <row r="67" spans="1:3" x14ac:dyDescent="0.25">
      <c r="A67" s="74">
        <v>54</v>
      </c>
      <c r="B67" s="74">
        <v>17</v>
      </c>
      <c r="C67" s="74">
        <v>18</v>
      </c>
    </row>
    <row r="68" spans="1:3" x14ac:dyDescent="0.25">
      <c r="A68" s="74">
        <v>71</v>
      </c>
      <c r="B68" s="74">
        <v>14</v>
      </c>
      <c r="C68" s="74">
        <v>3</v>
      </c>
    </row>
    <row r="69" spans="1:3" x14ac:dyDescent="0.25">
      <c r="A69" s="74">
        <v>46</v>
      </c>
      <c r="B69" s="74">
        <v>6</v>
      </c>
      <c r="C69" s="74">
        <v>10</v>
      </c>
    </row>
    <row r="70" spans="1:3" x14ac:dyDescent="0.25">
      <c r="A70" s="74">
        <v>84</v>
      </c>
      <c r="B70" s="74">
        <v>11</v>
      </c>
      <c r="C70" s="74">
        <v>3</v>
      </c>
    </row>
    <row r="71" spans="1:3" x14ac:dyDescent="0.25">
      <c r="A71" s="74">
        <v>54</v>
      </c>
      <c r="B71" s="74">
        <v>20</v>
      </c>
      <c r="C71" s="74">
        <v>16</v>
      </c>
    </row>
    <row r="72" spans="1:3" x14ac:dyDescent="0.25">
      <c r="A72" s="74">
        <v>71</v>
      </c>
      <c r="B72" s="74">
        <v>20</v>
      </c>
      <c r="C72" s="74">
        <v>4</v>
      </c>
    </row>
    <row r="73" spans="1:3" x14ac:dyDescent="0.25">
      <c r="A73" s="74">
        <v>78</v>
      </c>
      <c r="B73" s="74">
        <v>20</v>
      </c>
      <c r="C73" s="74">
        <v>10</v>
      </c>
    </row>
    <row r="74" spans="1:3" x14ac:dyDescent="0.25">
      <c r="A74" s="74">
        <v>10</v>
      </c>
      <c r="B74" s="74">
        <v>12</v>
      </c>
      <c r="C74" s="74">
        <v>2</v>
      </c>
    </row>
    <row r="75" spans="1:3" x14ac:dyDescent="0.25">
      <c r="A75" s="74">
        <v>47</v>
      </c>
      <c r="B75" s="74">
        <v>5</v>
      </c>
      <c r="C75" s="74">
        <v>3</v>
      </c>
    </row>
    <row r="76" spans="1:3" x14ac:dyDescent="0.25">
      <c r="A76" s="74">
        <v>66</v>
      </c>
      <c r="B76" s="74">
        <v>18</v>
      </c>
      <c r="C76" s="74">
        <v>18</v>
      </c>
    </row>
    <row r="77" spans="1:3" x14ac:dyDescent="0.25">
      <c r="A77" s="74">
        <v>8</v>
      </c>
      <c r="B77" s="74">
        <v>20</v>
      </c>
      <c r="C77" s="74">
        <v>17</v>
      </c>
    </row>
    <row r="78" spans="1:3" x14ac:dyDescent="0.25">
      <c r="A78" s="74">
        <v>41</v>
      </c>
      <c r="B78" s="74">
        <v>3</v>
      </c>
      <c r="C78" s="74">
        <v>9</v>
      </c>
    </row>
    <row r="79" spans="1:3" x14ac:dyDescent="0.25">
      <c r="A79" s="74">
        <v>62</v>
      </c>
      <c r="B79" s="74">
        <v>17</v>
      </c>
      <c r="C79" s="74">
        <v>18</v>
      </c>
    </row>
    <row r="80" spans="1:3" x14ac:dyDescent="0.25">
      <c r="A80" s="74">
        <v>2</v>
      </c>
      <c r="B80" s="74">
        <v>4</v>
      </c>
      <c r="C80" s="74">
        <v>11</v>
      </c>
    </row>
    <row r="81" spans="1:3" x14ac:dyDescent="0.25">
      <c r="A81" s="74">
        <v>3</v>
      </c>
      <c r="B81" s="74">
        <v>17</v>
      </c>
      <c r="C81" s="74">
        <v>7</v>
      </c>
    </row>
    <row r="82" spans="1:3" x14ac:dyDescent="0.25">
      <c r="A82" s="74">
        <v>23</v>
      </c>
      <c r="B82" s="74">
        <v>1</v>
      </c>
      <c r="C82" s="74">
        <v>20</v>
      </c>
    </row>
    <row r="83" spans="1:3" x14ac:dyDescent="0.25">
      <c r="A83" s="74">
        <v>57</v>
      </c>
      <c r="B83" s="74">
        <v>17</v>
      </c>
      <c r="C83" s="74">
        <v>11</v>
      </c>
    </row>
    <row r="84" spans="1:3" x14ac:dyDescent="0.25">
      <c r="A84" s="74">
        <v>31</v>
      </c>
      <c r="B84" s="74">
        <v>1</v>
      </c>
      <c r="C84" s="74">
        <v>3</v>
      </c>
    </row>
    <row r="85" spans="1:3" x14ac:dyDescent="0.25">
      <c r="A85" s="74">
        <v>77</v>
      </c>
      <c r="B85" s="74">
        <v>3</v>
      </c>
      <c r="C85" s="74">
        <v>13</v>
      </c>
    </row>
    <row r="86" spans="1:3" x14ac:dyDescent="0.25">
      <c r="A86" s="74">
        <v>80</v>
      </c>
      <c r="B86" s="74">
        <v>19</v>
      </c>
      <c r="C86" s="74">
        <v>10</v>
      </c>
    </row>
    <row r="87" spans="1:3" x14ac:dyDescent="0.25">
      <c r="A87" s="74">
        <v>82</v>
      </c>
      <c r="B87" s="74">
        <v>10</v>
      </c>
      <c r="C87" s="74">
        <v>11</v>
      </c>
    </row>
    <row r="88" spans="1:3" x14ac:dyDescent="0.25">
      <c r="A88" s="74">
        <v>37</v>
      </c>
      <c r="B88" s="74">
        <v>12</v>
      </c>
      <c r="C88" s="74">
        <v>15</v>
      </c>
    </row>
    <row r="89" spans="1:3" x14ac:dyDescent="0.25">
      <c r="A89" s="74">
        <v>29</v>
      </c>
      <c r="B89" s="74">
        <v>3</v>
      </c>
      <c r="C89" s="74">
        <v>13</v>
      </c>
    </row>
    <row r="90" spans="1:3" x14ac:dyDescent="0.25">
      <c r="A90" s="74">
        <v>63</v>
      </c>
      <c r="B90" s="74">
        <v>11</v>
      </c>
      <c r="C90" s="74">
        <v>20</v>
      </c>
    </row>
    <row r="91" spans="1:3" x14ac:dyDescent="0.25">
      <c r="A91" s="74">
        <v>84</v>
      </c>
      <c r="B91" s="74">
        <v>2</v>
      </c>
      <c r="C91" s="74">
        <v>16</v>
      </c>
    </row>
    <row r="92" spans="1:3" x14ac:dyDescent="0.25">
      <c r="A92" s="74">
        <v>19</v>
      </c>
      <c r="B92" s="74">
        <v>8</v>
      </c>
      <c r="C92" s="74">
        <v>3</v>
      </c>
    </row>
    <row r="93" spans="1:3" x14ac:dyDescent="0.25">
      <c r="A93" s="74">
        <v>48</v>
      </c>
      <c r="B93" s="74">
        <v>1</v>
      </c>
      <c r="C93" s="74">
        <v>1</v>
      </c>
    </row>
    <row r="94" spans="1:3" x14ac:dyDescent="0.25">
      <c r="A94" s="74">
        <v>33</v>
      </c>
      <c r="B94" s="74">
        <v>9</v>
      </c>
      <c r="C94" s="74">
        <v>12</v>
      </c>
    </row>
    <row r="95" spans="1:3" x14ac:dyDescent="0.25">
      <c r="A95" s="74">
        <v>21</v>
      </c>
      <c r="B95" s="74">
        <v>1</v>
      </c>
      <c r="C95" s="74">
        <v>6</v>
      </c>
    </row>
    <row r="96" spans="1:3" x14ac:dyDescent="0.25">
      <c r="A96" s="74">
        <v>40</v>
      </c>
      <c r="B96" s="74">
        <v>20</v>
      </c>
      <c r="C96" s="74">
        <v>4</v>
      </c>
    </row>
    <row r="97" spans="1:3" x14ac:dyDescent="0.25">
      <c r="A97" s="74">
        <v>52</v>
      </c>
      <c r="B97" s="74">
        <v>15</v>
      </c>
      <c r="C97" s="74">
        <v>15</v>
      </c>
    </row>
    <row r="98" spans="1:3" x14ac:dyDescent="0.25">
      <c r="A98" s="74">
        <v>35</v>
      </c>
      <c r="B98" s="74">
        <v>7</v>
      </c>
      <c r="C98" s="74">
        <v>12</v>
      </c>
    </row>
    <row r="99" spans="1:3" x14ac:dyDescent="0.25">
      <c r="A99" s="74">
        <v>90</v>
      </c>
      <c r="B99" s="74">
        <v>15</v>
      </c>
      <c r="C99" s="74">
        <v>13</v>
      </c>
    </row>
    <row r="100" spans="1:3" x14ac:dyDescent="0.25">
      <c r="A100" s="74">
        <v>91</v>
      </c>
      <c r="B100" s="74">
        <v>8</v>
      </c>
      <c r="C100" s="74">
        <v>9</v>
      </c>
    </row>
    <row r="101" spans="1:3" x14ac:dyDescent="0.25">
      <c r="A101" s="74">
        <v>64</v>
      </c>
      <c r="B101" s="74">
        <v>4</v>
      </c>
      <c r="C101" s="74">
        <v>9</v>
      </c>
    </row>
    <row r="102" spans="1:3" x14ac:dyDescent="0.25">
      <c r="A102" s="74">
        <v>73</v>
      </c>
      <c r="B102" s="74">
        <v>11</v>
      </c>
      <c r="C102" s="74">
        <v>6</v>
      </c>
    </row>
    <row r="103" spans="1:3" x14ac:dyDescent="0.25">
      <c r="A103" s="74">
        <v>51</v>
      </c>
      <c r="B103" s="74">
        <v>16</v>
      </c>
      <c r="C103" s="74">
        <v>5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F27"/>
  <sheetViews>
    <sheetView workbookViewId="0">
      <selection activeCell="D21" sqref="D21"/>
    </sheetView>
  </sheetViews>
  <sheetFormatPr baseColWidth="10" defaultRowHeight="15" x14ac:dyDescent="0.25"/>
  <cols>
    <col min="1" max="1" width="36.140625" customWidth="1"/>
    <col min="2" max="3" width="17.5703125" customWidth="1"/>
    <col min="8" max="9" width="15.5703125" customWidth="1"/>
    <col min="10" max="10" width="12.85546875" customWidth="1"/>
    <col min="11" max="11" width="15.85546875" customWidth="1"/>
    <col min="12" max="12" width="16" customWidth="1"/>
    <col min="13" max="13" width="14.28515625" customWidth="1"/>
    <col min="14" max="14" width="14.42578125" customWidth="1"/>
    <col min="15" max="15" width="14" customWidth="1"/>
    <col min="27" max="27" width="24.85546875" customWidth="1"/>
    <col min="28" max="28" width="19.85546875" customWidth="1"/>
  </cols>
  <sheetData>
    <row r="1" spans="1:32" x14ac:dyDescent="0.25">
      <c r="O1" t="s">
        <v>70</v>
      </c>
      <c r="S1" t="s">
        <v>83</v>
      </c>
      <c r="W1" t="s">
        <v>84</v>
      </c>
    </row>
    <row r="2" spans="1:32" x14ac:dyDescent="0.25">
      <c r="A2" s="17" t="s">
        <v>41</v>
      </c>
      <c r="B2" s="17" t="s">
        <v>49</v>
      </c>
      <c r="C2" s="17" t="s">
        <v>71</v>
      </c>
      <c r="D2" s="17" t="s">
        <v>50</v>
      </c>
      <c r="E2" s="17" t="s">
        <v>72</v>
      </c>
      <c r="F2" s="17" t="s">
        <v>48</v>
      </c>
      <c r="G2" s="17" t="s">
        <v>51</v>
      </c>
      <c r="H2" s="17" t="s">
        <v>52</v>
      </c>
      <c r="I2" s="17" t="s">
        <v>54</v>
      </c>
      <c r="J2" s="17" t="s">
        <v>55</v>
      </c>
      <c r="K2" s="17" t="s">
        <v>57</v>
      </c>
      <c r="L2" s="17" t="s">
        <v>58</v>
      </c>
      <c r="M2" s="19" t="s">
        <v>59</v>
      </c>
      <c r="N2" s="19" t="s">
        <v>60</v>
      </c>
      <c r="O2" s="19" t="s">
        <v>61</v>
      </c>
      <c r="P2" s="19" t="s">
        <v>62</v>
      </c>
      <c r="Q2" s="19" t="s">
        <v>65</v>
      </c>
      <c r="R2" s="19" t="s">
        <v>66</v>
      </c>
      <c r="S2" s="19" t="s">
        <v>61</v>
      </c>
      <c r="T2" s="19" t="s">
        <v>62</v>
      </c>
      <c r="U2" s="19" t="s">
        <v>65</v>
      </c>
      <c r="V2" s="19" t="s">
        <v>66</v>
      </c>
      <c r="W2" s="19" t="s">
        <v>61</v>
      </c>
      <c r="X2" s="19" t="s">
        <v>62</v>
      </c>
      <c r="Y2" s="19" t="s">
        <v>65</v>
      </c>
      <c r="Z2" s="19" t="s">
        <v>66</v>
      </c>
      <c r="AA2" s="19" t="s">
        <v>68</v>
      </c>
      <c r="AB2" s="19" t="s">
        <v>67</v>
      </c>
      <c r="AC2" s="19" t="s">
        <v>69</v>
      </c>
      <c r="AD2" s="19" t="s">
        <v>73</v>
      </c>
      <c r="AE2" s="19" t="s">
        <v>74</v>
      </c>
    </row>
    <row r="3" spans="1:32" x14ac:dyDescent="0.25">
      <c r="A3" s="32" t="s">
        <v>86</v>
      </c>
      <c r="B3" s="16" t="str">
        <f>LOOKUP(Rechnungen!$A3,'Challenge Liste'!$A$3:$A$27,'Challenge Liste'!$B$3:$B$27)</f>
        <v>Knw(dung)</v>
      </c>
      <c r="C3" s="16">
        <f>LOOKUP(A3,'Challenge Liste'!A3:A27,'Challenge Liste'!E3:E27)</f>
        <v>25</v>
      </c>
      <c r="D3" s="16" t="str">
        <f>LOOKUP(Rechnungen!$A3,'Challenge Liste'!$A$3:$A$27,'Challenge Liste'!$F$3:$F$27)</f>
        <v>Spellcraft</v>
      </c>
      <c r="E3" s="16">
        <f>LOOKUP(A3,'Challenge Liste'!A3:A27,'Challenge Liste'!I3:I27)</f>
        <v>27</v>
      </c>
      <c r="F3" s="16" t="str">
        <f ca="1">LOOKUP(B3,'Skill Liste'!$B$2:$B$29,'Skill Liste'!$I$2:$I$28)</f>
        <v/>
      </c>
      <c r="G3" s="16" t="str">
        <f ca="1">LOOKUP(D3,'Skill Liste'!$B$2:$B$29,'Skill Liste'!$I$2:$I$28)</f>
        <v/>
      </c>
      <c r="H3" s="16" t="b">
        <f ca="1">IF(G3=F3, TRUE, FALSE)</f>
        <v>1</v>
      </c>
      <c r="I3" s="16" t="str">
        <f ca="1">IF(H3,LOOKUP(LOOKUP(Rechnungen!$A3,'Challenge Liste'!$A$3:$A$27,'Challenge Liste'!$B$3:$B$27),'Skill Liste'!$B$2:$B$29,'Skill Liste'!$J$2:$J$28),"")</f>
        <v/>
      </c>
      <c r="J3" s="16" t="str">
        <f ca="1">IF(H3,LOOKUP(LOOKUP(Rechnungen!$A3,'Challenge Liste'!$A$3:$A$27,'Challenge Liste'!$F$3:$F$27),'Skill Liste'!$B$2:$B$29,'Skill Liste'!$J$2:$J$28),"")</f>
        <v/>
      </c>
      <c r="K3" s="16">
        <f ca="1">HLOOKUP(Rechnungen!$F3,'Skill Liste'!$C$1:$H$29,LOOKUP($B3,'Skill Liste'!$B$2:$B$29,'Skill Liste'!$A$2:$A$29),FALSE)</f>
        <v>0</v>
      </c>
      <c r="L3" s="16">
        <f ca="1">HLOOKUP(Rechnungen!$G3,'Skill Liste'!$C$1:$H$29,LOOKUP($D3,'Skill Liste'!$B$2:$B$29,'Skill Liste'!$A$2:$A$29),FALSE)</f>
        <v>0</v>
      </c>
      <c r="M3">
        <f ca="1">IF(H3,HLOOKUP(Rechnungen!$I3,'Skill Liste'!$C$1:$H$29,LOOKUP($B3,'Skill Liste'!$B$2:$B$29,'Skill Liste'!$A$2:$A$29),FALSE),"")</f>
        <v>0</v>
      </c>
      <c r="N3">
        <f ca="1">IF(H3,HLOOKUP(Rechnungen!$J3,'Skill Liste'!$C$1:$H$29,LOOKUP($D3,'Skill Liste'!$B$2:$B$29,'Skill Liste'!$A$2:$A$29),FALSE),"")</f>
        <v>0</v>
      </c>
      <c r="O3" s="20">
        <f ca="1">IF(IF(K3&gt;C3-1,1,(20-C3+Rechnungen!K3+1)/20)&lt;0,0,IF(K3&gt;C3-1,1,(20-C3+Rechnungen!K3+1)/20))</f>
        <v>0</v>
      </c>
      <c r="P3" s="20">
        <f ca="1">IF(IF(L3&gt;E3-1,1,(20-E3+Rechnungen!L3+1)/20)&lt;0,0,IF(L3&gt;E3-1,1,(20-E3+Rechnungen!L3+1)/20))</f>
        <v>0</v>
      </c>
      <c r="Q3" s="20">
        <f ca="1">IF(H3,IF(IF(M3&gt;C3-1,1,(20-C3+Rechnungen!M3+1)/20)&lt;0,0,IF(M3&gt;C3-1,1,(20-C3+Rechnungen!M3+1)/20)),"")</f>
        <v>0</v>
      </c>
      <c r="R3" s="20">
        <f ca="1">IF(H3,IF(IF(N3&gt;E3-1,1,(20-E3+Rechnungen!N3+1)/20)&lt;0,0,IF(N3&gt;E3-1,1,(20-E3+Rechnungen!N3+1)/20)),"")</f>
        <v>0</v>
      </c>
      <c r="S3" s="20">
        <f ca="1">IF(OR(K3&gt;=C3-1,K3&lt;=C3-24),0,IF(K3&lt;(C3-5),4/20,(C3-Rechnungen!K3-1)/20))</f>
        <v>0</v>
      </c>
      <c r="T3" s="20">
        <f ca="1">IF(OR(L3&gt;=E3-1,L3&lt;=E3-24),0,IF(L3&lt;(E3-5),4/20,(E3-Rechnungen!L3-1)/20))</f>
        <v>0</v>
      </c>
      <c r="U3" s="20">
        <f ca="1">IF(H3,IF(OR(M3&gt;=C3-1,M3&lt;=C3-24),0,IF(M3&lt;(C3-5),4/20,(C3-M3-1)/20)),"")</f>
        <v>0</v>
      </c>
      <c r="V3" s="20">
        <f ca="1">IF(H3,IF(OR(N3&gt;=E3-1,N3&lt;=E3-24),0,IF(N3&lt;(E3-5),4/20,(E3-N3-1)/20)),"")</f>
        <v>0</v>
      </c>
      <c r="W3" s="20">
        <f ca="1">IF(IF(K3&gt;=C3-5,0,(C3-K3-5)/20)&gt;1,1,IF(K3&gt;=C3-5,0,(C3-K3-5)/20))</f>
        <v>1</v>
      </c>
      <c r="X3" s="20">
        <f ca="1">IF(IF(L3&gt;=E3-5,0,(E3-L3-5)/20)&gt;1,1,IF(L3&gt;=E3-5,0,(E3-L3-5)/20))</f>
        <v>1</v>
      </c>
      <c r="Y3" s="20">
        <f ca="1">IF(H3,IF(IF(M3&gt;=C3-5,0,(C3-M3-5)/20)&gt;1,1,IF(M3&gt;=C3-5,0,(C3-M3-5)/20)),"")</f>
        <v>1</v>
      </c>
      <c r="Z3" s="20">
        <f ca="1">IF(H3,IF(IF(N3&gt;=E3-5,0,(E3-N3-5)/20)&gt;1,1,IF(N3&gt;=E3-5,0,(E3-N3-5)/20)),"")</f>
        <v>1</v>
      </c>
      <c r="AA3" t="str">
        <f ca="1">IF(OR(O3&lt;bestlist!$B$28,P3&lt;bestlist!$B$28),IF(O3&gt;P3,"best1","best2"),IF(H3,IF(AND(Q3=0,R3=0),IF(O3&gt;P3,"best1","best2"),IF(O3*R3&gt;=P3*Q3,"best1+alt2","alt1+best2")), "best+best"))</f>
        <v>best2</v>
      </c>
      <c r="AB3" s="21">
        <f ca="1">IF(OR(AA3="best1",AA3="best2"),0,IF(AA3="best+best",O3*P3,IF(AA3="alt1+best2",P3*Q3,O3*R3)))</f>
        <v>0</v>
      </c>
      <c r="AC3" s="21">
        <f t="shared" ref="AC3:AC8" ca="1" si="0">IF(OR(AA3="best1",AA3="best2"),IF(AA3="best1",O3,P3),IF(AA3="best+best",O3*T3+P3*S3,IF(AA3="alt1+best2",Q3*T3+P3*U3,O3*V3+R3*S3)))</f>
        <v>0</v>
      </c>
      <c r="AD3" s="22">
        <f t="shared" ref="AD3:AD8" ca="1" si="1">IF(OR(AA3="best1",AA3="best2"),1-AC3,IF(AA3="best+best",O3*X3+W3*P3,IF(AA3="alt1+best2",Q3*X3+Y3*P3,O3*Z3+W3*R3)))</f>
        <v>1</v>
      </c>
      <c r="AE3" s="22">
        <f ca="1">1-AB3-AC3-AD3</f>
        <v>0</v>
      </c>
      <c r="AF3" s="26"/>
    </row>
    <row r="4" spans="1:32" x14ac:dyDescent="0.25">
      <c r="A4" s="32" t="s">
        <v>87</v>
      </c>
      <c r="B4" s="16" t="str">
        <f>LOOKUP(Rechnungen!$A4,'Challenge Liste'!$A$3:$A$27,'Challenge Liste'!$B$3:$B$27)</f>
        <v>Craft (T)</v>
      </c>
      <c r="C4" s="16">
        <f>LOOKUP(A4,'Challenge Liste'!A4:A28,'Challenge Liste'!E4:E28)</f>
        <v>32</v>
      </c>
      <c r="D4" s="16" t="str">
        <f>LOOKUP(Rechnungen!$A4,'Challenge Liste'!$A$3:$A$27,'Challenge Liste'!$F$3:$F$27)</f>
        <v>Knw(eng)</v>
      </c>
      <c r="E4" s="16">
        <f>LOOKUP(A4,'Challenge Liste'!A4:A28,'Challenge Liste'!I4:I28)</f>
        <v>25</v>
      </c>
      <c r="F4" s="16" t="str">
        <f>LOOKUP(B4,'Skill Liste'!$B$2:$B$29,'Skill Liste'!$I$2:$I$29)</f>
        <v/>
      </c>
      <c r="G4" s="16" t="str">
        <f ca="1">LOOKUP(D4,'Skill Liste'!$B$2:$B$29,'Skill Liste'!$I$2:$I$28)</f>
        <v/>
      </c>
      <c r="H4" s="16" t="b">
        <f t="shared" ref="H4:H27" ca="1" si="2">IF(G4=F4, TRUE, FALSE)</f>
        <v>1</v>
      </c>
      <c r="I4" s="16" t="str">
        <f ca="1">IF(H4,LOOKUP(LOOKUP(Rechnungen!$A4,'Challenge Liste'!$A$3:$A$27,'Challenge Liste'!$B$3:$B$27),'Skill Liste'!$B$2:$B$29,'Skill Liste'!$J$2:$J$28),"")</f>
        <v/>
      </c>
      <c r="J4" s="16" t="str">
        <f ca="1">IF(H4,LOOKUP(LOOKUP(Rechnungen!$A4,'Challenge Liste'!$A$3:$A$27,'Challenge Liste'!$F$3:$F$27),'Skill Liste'!$B$2:$B$29,'Skill Liste'!$J$2:$J$28),"")</f>
        <v/>
      </c>
      <c r="K4" s="16">
        <f>HLOOKUP(Rechnungen!$F4,'Skill Liste'!$C$1:$H$29,LOOKUP($B4,'Skill Liste'!$B$2:$B$29,'Skill Liste'!$A$2:$A$29),FALSE)</f>
        <v>0</v>
      </c>
      <c r="L4" s="16">
        <f ca="1">HLOOKUP(Rechnungen!$G4,'Skill Liste'!$C$1:$H$29,LOOKUP($D4,'Skill Liste'!$B$2:$B$29,'Skill Liste'!$A$2:$A$29),FALSE)</f>
        <v>0</v>
      </c>
      <c r="M4">
        <f ca="1">IF(H4,HLOOKUP(Rechnungen!$I4,'Skill Liste'!$C$1:$H$29,LOOKUP($B4,'Skill Liste'!$B$2:$B$29,'Skill Liste'!$A$2:$A$29),FALSE),"")</f>
        <v>0</v>
      </c>
      <c r="N4">
        <f ca="1">IF(H4,HLOOKUP(Rechnungen!$J4,'Skill Liste'!$C$1:$H$29,LOOKUP($D4,'Skill Liste'!$B$2:$B$29,'Skill Liste'!$A$2:$A$29),FALSE),"")</f>
        <v>0</v>
      </c>
      <c r="O4" s="20">
        <f>IF(IF(K4&gt;C4-1,1,(20-C4+Rechnungen!K4+1)/20)&lt;0,0,IF(K4&gt;C4-1,1,(20-C4+Rechnungen!K4+1)/20))</f>
        <v>0</v>
      </c>
      <c r="P4" s="20">
        <f ca="1">IF(IF(L4&gt;E4-1,1,(20-E4+Rechnungen!L4+1)/20)&lt;0,0,IF(L4&gt;E4-1,1,(20-E4+Rechnungen!L4+1)/20))</f>
        <v>0</v>
      </c>
      <c r="Q4" s="20">
        <f ca="1">IF(H4,IF(IF(M4&gt;C4-1,1,(20-C4+Rechnungen!M4+1)/20)&lt;0,0,IF(M4&gt;C4-1,1,(20-C4+Rechnungen!M4+1)/20)),"")</f>
        <v>0</v>
      </c>
      <c r="R4" s="20">
        <f ca="1">IF(H4,IF(IF(N4&gt;E4-1,1,(20-E4+Rechnungen!N4+1)/20)&lt;0,0,IF(N4&gt;E4-1,1,(20-E4+Rechnungen!N4+1)/20)),"")</f>
        <v>0</v>
      </c>
      <c r="S4" s="20">
        <f>IF(OR(K4&gt;=C4-1,K4&lt;=C4-24),0,IF(K4&lt;(C4-5),4/20,(C4-Rechnungen!K4-1)/20))</f>
        <v>0</v>
      </c>
      <c r="T4" s="20">
        <f ca="1">IF(OR(L4&gt;=E4-1,L4&lt;=E4-24),0,IF(L4&lt;(E4-5),4/20,(E4-Rechnungen!L4-1)/20))</f>
        <v>0</v>
      </c>
      <c r="U4" s="20">
        <f t="shared" ref="U4:U27" ca="1" si="3">IF(H4,IF(OR(M4&gt;=C4-1,M4&lt;=C4-24),0,IF(M4&lt;(C4-5),4/20,(C4-M4-1)/20)),"")</f>
        <v>0</v>
      </c>
      <c r="V4" s="20">
        <f t="shared" ref="V4:V27" ca="1" si="4">IF(H4,IF(OR(N4&gt;=E4-1,N4&lt;=E4-24),0,IF(N4&lt;(E4-5),4/20,(E4-N4-1)/20)),"")</f>
        <v>0</v>
      </c>
      <c r="W4" s="20">
        <f t="shared" ref="W4:W27" si="5">IF(IF(K4&gt;=C4-5,0,(C4-K4-5)/20)&gt;1,1,IF(K4&gt;=C4-5,0,(C4-K4-5)/20))</f>
        <v>1</v>
      </c>
      <c r="X4" s="20">
        <f t="shared" ref="X4:X27" ca="1" si="6">IF(IF(L4&gt;=E4-5,0,(E4-L4-5)/20)&gt;1,1,IF(L4&gt;=E4-5,0,(E4-L4-5)/20))</f>
        <v>1</v>
      </c>
      <c r="Y4" s="20">
        <f t="shared" ref="Y4:Y27" ca="1" si="7">IF(H4,IF(IF(M4&gt;=C4-5,0,(C4-M4-5)/20)&gt;1,1,IF(M4&gt;=C4-5,0,(C4-M4-5)/20)),"")</f>
        <v>1</v>
      </c>
      <c r="Z4" s="20">
        <f t="shared" ref="Z4:Z27" ca="1" si="8">IF(H4,IF(IF(N4&gt;=E4-5,0,(E4-N4-5)/20)&gt;1,1,IF(N4&gt;=E4-5,0,(E4-N4-5)/20)),"")</f>
        <v>1</v>
      </c>
      <c r="AA4" t="str">
        <f ca="1">IF(OR(O4&lt;bestlist!$B$28,P4&lt;bestlist!$B$28),IF(O4&gt;P4,"best1","best2"),IF(H4,IF(AND(Q4=0,R4=0),IF(O4&gt;P4,"best1","best2"),IF(O4*R4&gt;=P4*Q4,"best1+alt2","alt1+best2")), "best+best"))</f>
        <v>best2</v>
      </c>
      <c r="AB4" s="21">
        <f ca="1">IF(OR(AA4="best1",AA4="best2"),0,IF(AA4="best+best",O4*P4,IF(AA4="alt1+best2",P4*Q4,O4*R4)))</f>
        <v>0</v>
      </c>
      <c r="AC4" s="21">
        <f t="shared" ca="1" si="0"/>
        <v>0</v>
      </c>
      <c r="AD4" s="22">
        <f t="shared" ca="1" si="1"/>
        <v>1</v>
      </c>
      <c r="AE4" s="22">
        <f t="shared" ref="AE4:AE27" ca="1" si="9">1-AB4-AC4-AD4</f>
        <v>0</v>
      </c>
      <c r="AF4" s="26"/>
    </row>
    <row r="5" spans="1:32" x14ac:dyDescent="0.25">
      <c r="A5" s="33" t="s">
        <v>3</v>
      </c>
      <c r="B5" s="16" t="str">
        <f>LOOKUP(Rechnungen!$A5,'Challenge Liste'!$A$3:$A$27,'Challenge Liste'!$B$3:$B$27)</f>
        <v>alle Prereq haben</v>
      </c>
      <c r="C5" s="16">
        <f>LOOKUP(A5,'Challenge Liste'!A5:A29,'Challenge Liste'!E5:E29)</f>
        <v>1</v>
      </c>
      <c r="D5" s="16" t="str">
        <f>LOOKUP(Rechnungen!$A5,'Challenge Liste'!$A$3:$A$27,'Challenge Liste'!$F$3:$F$27)</f>
        <v>UMD</v>
      </c>
      <c r="E5" s="16">
        <f>LOOKUP(A5,'Challenge Liste'!A5:A29,'Challenge Liste'!I5:I29)</f>
        <v>27</v>
      </c>
      <c r="F5" s="16" t="str">
        <f>LOOKUP(B5,'Skill Liste'!$B$2:$B$29,'Skill Liste'!$I$2:$I$29)</f>
        <v/>
      </c>
      <c r="G5" s="16" t="str">
        <f ca="1">LOOKUP(D5,'Skill Liste'!$B$2:$B$29,'Skill Liste'!$I$2:$I$28)</f>
        <v/>
      </c>
      <c r="H5" s="16" t="b">
        <f t="shared" ca="1" si="2"/>
        <v>1</v>
      </c>
      <c r="I5" s="16" t="str">
        <f ca="1">IF(H5,LOOKUP(LOOKUP(Rechnungen!$A5,'Challenge Liste'!$A$3:$A$27,'Challenge Liste'!$B$3:$B$27),'Skill Liste'!$B$2:$B$29,'Skill Liste'!$J$2:$J$28),"")</f>
        <v/>
      </c>
      <c r="J5" s="16" t="str">
        <f ca="1">IF(H5,LOOKUP(LOOKUP(Rechnungen!$A5,'Challenge Liste'!$A$3:$A$27,'Challenge Liste'!$F$3:$F$27),'Skill Liste'!$B$2:$B$29,'Skill Liste'!$J$2:$J$28),"")</f>
        <v/>
      </c>
      <c r="K5" s="16">
        <f>HLOOKUP(Rechnungen!$F5,'Skill Liste'!$C$1:$H$29,LOOKUP($B5,'Skill Liste'!$B$2:$B$29,'Skill Liste'!$A$2:$A$29),FALSE)</f>
        <v>0</v>
      </c>
      <c r="L5" s="16">
        <f ca="1">HLOOKUP(Rechnungen!$G5,'Skill Liste'!$C$1:$H$29,LOOKUP($D5,'Skill Liste'!$B$2:$B$29,'Skill Liste'!$A$2:$A$29),FALSE)</f>
        <v>0</v>
      </c>
      <c r="M5">
        <f ca="1">IF(H5,HLOOKUP(Rechnungen!$I5,'Skill Liste'!$C$1:$H$29,LOOKUP($B5,'Skill Liste'!$B$2:$B$29,'Skill Liste'!$A$2:$A$29),FALSE),"")</f>
        <v>0</v>
      </c>
      <c r="N5">
        <f ca="1">IF(H5,HLOOKUP(Rechnungen!$J5,'Skill Liste'!$C$1:$H$29,LOOKUP($D5,'Skill Liste'!$B$2:$B$29,'Skill Liste'!$A$2:$A$29),FALSE),"")</f>
        <v>0</v>
      </c>
      <c r="O5" s="20">
        <f>IF(IF(K5&gt;C5-1,1,(20-C5+Rechnungen!K5+1)/20)&lt;0,0,IF(K5&gt;C5-1,1,(20-C5+Rechnungen!K5+1)/20))</f>
        <v>1</v>
      </c>
      <c r="P5" s="20">
        <f ca="1">IF(IF(L5&gt;E5-1,1,(20-E5+Rechnungen!L5+1)/20)&lt;0,0,IF(L5&gt;E5-1,1,(20-E5+Rechnungen!L5+1)/20))</f>
        <v>0</v>
      </c>
      <c r="Q5" s="20">
        <f ca="1">IF(H5,IF(IF(M5&gt;C5-1,1,(20-C5+Rechnungen!M5+1)/20)&lt;0,0,IF(M5&gt;C5-1,1,(20-C5+Rechnungen!M5+1)/20)),"")</f>
        <v>1</v>
      </c>
      <c r="R5" s="20">
        <f ca="1">IF(H5,IF(IF(N5&gt;E5-1,1,(20-E5+Rechnungen!N5+1)/20)&lt;0,0,IF(N5&gt;E5-1,1,(20-E5+Rechnungen!N5+1)/20)),"")</f>
        <v>0</v>
      </c>
      <c r="S5" s="20">
        <f>IF(OR(K5&gt;=C5-1,K5&lt;=C5-24),0,IF(K5&lt;(C5-5),4/20,(C5-Rechnungen!K5-1)/20))</f>
        <v>0</v>
      </c>
      <c r="T5" s="20">
        <f ca="1">IF(OR(L5&gt;=E5-1,L5&lt;=E5-24),0,IF(L5&lt;(E5-5),4/20,(E5-Rechnungen!L5-1)/20))</f>
        <v>0</v>
      </c>
      <c r="U5" s="20">
        <f t="shared" ca="1" si="3"/>
        <v>0</v>
      </c>
      <c r="V5" s="20">
        <f t="shared" ca="1" si="4"/>
        <v>0</v>
      </c>
      <c r="W5" s="20">
        <f t="shared" si="5"/>
        <v>0</v>
      </c>
      <c r="X5" s="20">
        <f t="shared" ca="1" si="6"/>
        <v>1</v>
      </c>
      <c r="Y5" s="20">
        <f t="shared" ca="1" si="7"/>
        <v>0</v>
      </c>
      <c r="Z5" s="20">
        <f t="shared" ca="1" si="8"/>
        <v>1</v>
      </c>
      <c r="AA5" t="str">
        <f ca="1">IF(OR(O5&lt;bestlist!$B$28,P5&lt;bestlist!$B$28),IF(O5&gt;P5,"best1","best2"),IF(H5,IF(AND(Q5=0,R5=0),IF(O5&gt;P5,"best1","best2"),IF(O5*R5&gt;=P5*Q5,"best1+alt2","alt1+best2")), "best+best"))</f>
        <v>best1</v>
      </c>
      <c r="AB5" s="21">
        <f t="shared" ref="AB5:AB27" ca="1" si="10">IF(OR(AA5="best1",AA5="best2"),0,IF(AA5="best+best",O5*P5,IF(AA5="alt1+best2",P5*Q5,O5*R5)))</f>
        <v>0</v>
      </c>
      <c r="AC5" s="21">
        <f t="shared" ca="1" si="0"/>
        <v>1</v>
      </c>
      <c r="AD5" s="22">
        <f t="shared" ca="1" si="1"/>
        <v>0</v>
      </c>
      <c r="AE5" s="22">
        <f t="shared" ca="1" si="9"/>
        <v>0</v>
      </c>
      <c r="AF5" s="26"/>
    </row>
    <row r="6" spans="1:32" x14ac:dyDescent="0.25">
      <c r="A6" s="32" t="s">
        <v>88</v>
      </c>
      <c r="B6" s="16" t="str">
        <f>LOOKUP(Rechnungen!$A6,'Challenge Liste'!$A$3:$A$27,'Challenge Liste'!$B$3:$B$27)</f>
        <v>Knw(arc)</v>
      </c>
      <c r="C6" s="16">
        <f>LOOKUP(A6,'Challenge Liste'!A6:A30,'Challenge Liste'!E6:E30)</f>
        <v>27</v>
      </c>
      <c r="D6" s="16" t="str">
        <f>LOOKUP(Rechnungen!$A6,'Challenge Liste'!$A$3:$A$27,'Challenge Liste'!$F$3:$F$27)</f>
        <v>Spellcraft</v>
      </c>
      <c r="E6" s="16">
        <f>LOOKUP(A6,'Challenge Liste'!A6:A30,'Challenge Liste'!I6:I30)</f>
        <v>32</v>
      </c>
      <c r="F6" s="16" t="str">
        <f>LOOKUP(B6,'Skill Liste'!$B$2:$B$29,'Skill Liste'!$I$2:$I$29)</f>
        <v/>
      </c>
      <c r="G6" s="16" t="str">
        <f ca="1">LOOKUP(D6,'Skill Liste'!$B$2:$B$29,'Skill Liste'!$I$2:$I$28)</f>
        <v/>
      </c>
      <c r="H6" s="16" t="b">
        <f t="shared" ca="1" si="2"/>
        <v>1</v>
      </c>
      <c r="I6" s="16" t="str">
        <f ca="1">IF(H6,LOOKUP(LOOKUP(Rechnungen!$A6,'Challenge Liste'!$A$3:$A$27,'Challenge Liste'!$B$3:$B$27),'Skill Liste'!$B$2:$B$29,'Skill Liste'!$J$2:$J$28),"")</f>
        <v/>
      </c>
      <c r="J6" s="16" t="str">
        <f ca="1">IF(H6,LOOKUP(LOOKUP(Rechnungen!$A6,'Challenge Liste'!$A$3:$A$27,'Challenge Liste'!$F$3:$F$27),'Skill Liste'!$B$2:$B$29,'Skill Liste'!$J$2:$J$28),"")</f>
        <v/>
      </c>
      <c r="K6" s="16">
        <f>HLOOKUP(Rechnungen!$F6,'Skill Liste'!$C$1:$H$29,LOOKUP($B6,'Skill Liste'!$B$2:$B$29,'Skill Liste'!$A$2:$A$29),FALSE)</f>
        <v>0</v>
      </c>
      <c r="L6" s="16">
        <f ca="1">HLOOKUP(Rechnungen!$G6,'Skill Liste'!$C$1:$H$29,LOOKUP($D6,'Skill Liste'!$B$2:$B$29,'Skill Liste'!$A$2:$A$29),FALSE)</f>
        <v>0</v>
      </c>
      <c r="M6">
        <f ca="1">IF(H6,HLOOKUP(Rechnungen!$I6,'Skill Liste'!$C$1:$H$29,LOOKUP($B6,'Skill Liste'!$B$2:$B$29,'Skill Liste'!$A$2:$A$29),FALSE),"")</f>
        <v>0</v>
      </c>
      <c r="N6">
        <f ca="1">IF(H6,HLOOKUP(Rechnungen!$J6,'Skill Liste'!$C$1:$H$29,LOOKUP($D6,'Skill Liste'!$B$2:$B$29,'Skill Liste'!$A$2:$A$29),FALSE),"")</f>
        <v>0</v>
      </c>
      <c r="O6" s="20">
        <f>IF(IF(K6&gt;C6-1,1,(20-C6+Rechnungen!K6+1)/20)&lt;0,0,IF(K6&gt;C6-1,1,(20-C6+Rechnungen!K6+1)/20))</f>
        <v>0</v>
      </c>
      <c r="P6" s="20">
        <f ca="1">IF(IF(L6&gt;E6-1,1,(20-E6+Rechnungen!L6+1)/20)&lt;0,0,IF(L6&gt;E6-1,1,(20-E6+Rechnungen!L6+1)/20))</f>
        <v>0</v>
      </c>
      <c r="Q6" s="20">
        <f ca="1">IF(H6,IF(IF(M6&gt;C6-1,1,(20-C6+Rechnungen!M6+1)/20)&lt;0,0,IF(M6&gt;C6-1,1,(20-C6+Rechnungen!M6+1)/20)),"")</f>
        <v>0</v>
      </c>
      <c r="R6" s="20">
        <f ca="1">IF(H6,IF(IF(N6&gt;E6-1,1,(20-E6+Rechnungen!N6+1)/20)&lt;0,0,IF(N6&gt;E6-1,1,(20-E6+Rechnungen!N6+1)/20)),"")</f>
        <v>0</v>
      </c>
      <c r="S6" s="20">
        <f>IF(OR(K6&gt;=C6-1,K6&lt;=C6-24),0,IF(K6&lt;(C6-5),4/20,(C6-Rechnungen!K6-1)/20))</f>
        <v>0</v>
      </c>
      <c r="T6" s="20">
        <f ca="1">IF(OR(L6&gt;=E6-1,L6&lt;=E6-24),0,IF(L6&lt;(E6-5),4/20,(E6-Rechnungen!L6-1)/20))</f>
        <v>0</v>
      </c>
      <c r="U6" s="20">
        <f t="shared" ca="1" si="3"/>
        <v>0</v>
      </c>
      <c r="V6" s="20">
        <f t="shared" ca="1" si="4"/>
        <v>0</v>
      </c>
      <c r="W6" s="20">
        <f t="shared" si="5"/>
        <v>1</v>
      </c>
      <c r="X6" s="20">
        <f t="shared" ca="1" si="6"/>
        <v>1</v>
      </c>
      <c r="Y6" s="20">
        <f t="shared" ca="1" si="7"/>
        <v>1</v>
      </c>
      <c r="Z6" s="20">
        <f t="shared" ca="1" si="8"/>
        <v>1</v>
      </c>
      <c r="AA6" t="str">
        <f ca="1">IF(OR(O6&lt;bestlist!$B$28,P6&lt;bestlist!$B$28),IF(O6&gt;P6,"best1","best2"),IF(H6,IF(AND(Q6=0,R6=0),IF(O6&gt;P6,"best1","best2"),IF(O6*R6&gt;=P6*Q6,"best1+alt2","alt1+best2")), "best+best"))</f>
        <v>best2</v>
      </c>
      <c r="AB6" s="21">
        <f t="shared" ca="1" si="10"/>
        <v>0</v>
      </c>
      <c r="AC6" s="21">
        <f t="shared" ca="1" si="0"/>
        <v>0</v>
      </c>
      <c r="AD6" s="22">
        <f t="shared" ca="1" si="1"/>
        <v>1</v>
      </c>
      <c r="AE6" s="22">
        <f t="shared" ca="1" si="9"/>
        <v>0</v>
      </c>
      <c r="AF6" s="26"/>
    </row>
    <row r="7" spans="1:32" x14ac:dyDescent="0.25">
      <c r="A7" s="32" t="s">
        <v>89</v>
      </c>
      <c r="B7" s="16" t="str">
        <f>LOOKUP(Rechnungen!$A7,'Challenge Liste'!$A$3:$A$27,'Challenge Liste'!$B$3:$B$27)</f>
        <v>Linguistic</v>
      </c>
      <c r="C7" s="16">
        <f>LOOKUP(A7,'Challenge Liste'!A7:A31,'Challenge Liste'!E7:E31)</f>
        <v>20</v>
      </c>
      <c r="D7" s="16" t="str">
        <f>LOOKUP(Rechnungen!$A7,'Challenge Liste'!$A$3:$A$27,'Challenge Liste'!$F$3:$F$27)</f>
        <v>UMD</v>
      </c>
      <c r="E7" s="16">
        <f>LOOKUP(A7,'Challenge Liste'!A7:A31,'Challenge Liste'!I7:I31)</f>
        <v>27</v>
      </c>
      <c r="F7" s="16" t="str">
        <f>LOOKUP(B7,'Skill Liste'!$B$2:$B$29,'Skill Liste'!$I$2:$I$29)</f>
        <v/>
      </c>
      <c r="G7" s="16" t="str">
        <f ca="1">LOOKUP(D7,'Skill Liste'!$B$2:$B$29,'Skill Liste'!$I$2:$I$28)</f>
        <v/>
      </c>
      <c r="H7" s="16" t="b">
        <f t="shared" ca="1" si="2"/>
        <v>1</v>
      </c>
      <c r="I7" s="16" t="str">
        <f ca="1">IF(H7,LOOKUP(LOOKUP(Rechnungen!$A7,'Challenge Liste'!$A$3:$A$27,'Challenge Liste'!$B$3:$B$27),'Skill Liste'!$B$2:$B$29,'Skill Liste'!$J$2:$J$28),"")</f>
        <v/>
      </c>
      <c r="J7" s="16" t="str">
        <f ca="1">IF(H7,LOOKUP(LOOKUP(Rechnungen!$A7,'Challenge Liste'!$A$3:$A$27,'Challenge Liste'!$F$3:$F$27),'Skill Liste'!$B$2:$B$29,'Skill Liste'!$J$2:$J$28),"")</f>
        <v/>
      </c>
      <c r="K7" s="16">
        <f>HLOOKUP(Rechnungen!$F7,'Skill Liste'!$C$1:$H$29,LOOKUP($B7,'Skill Liste'!$B$2:$B$29,'Skill Liste'!$A$2:$A$29),FALSE)</f>
        <v>0</v>
      </c>
      <c r="L7" s="16">
        <f ca="1">HLOOKUP(Rechnungen!$G7,'Skill Liste'!$C$1:$H$29,LOOKUP($D7,'Skill Liste'!$B$2:$B$29,'Skill Liste'!$A$2:$A$29),FALSE)</f>
        <v>0</v>
      </c>
      <c r="M7">
        <f ca="1">IF(H7,HLOOKUP(Rechnungen!$I7,'Skill Liste'!$C$1:$H$29,LOOKUP($B7,'Skill Liste'!$B$2:$B$29,'Skill Liste'!$A$2:$A$29),FALSE),"")</f>
        <v>0</v>
      </c>
      <c r="N7">
        <f ca="1">IF(H7,HLOOKUP(Rechnungen!$J7,'Skill Liste'!$C$1:$H$29,LOOKUP($D7,'Skill Liste'!$B$2:$B$29,'Skill Liste'!$A$2:$A$29),FALSE),"")</f>
        <v>0</v>
      </c>
      <c r="O7" s="20">
        <f>IF(IF(K7&gt;C7-1,1,(20-C7+Rechnungen!K7+1)/20)&lt;0,0,IF(K7&gt;C7-1,1,(20-C7+Rechnungen!K7+1)/20))</f>
        <v>0.05</v>
      </c>
      <c r="P7" s="20">
        <f ca="1">IF(IF(L7&gt;E7-1,1,(20-E7+Rechnungen!L7+1)/20)&lt;0,0,IF(L7&gt;E7-1,1,(20-E7+Rechnungen!L7+1)/20))</f>
        <v>0</v>
      </c>
      <c r="Q7" s="20">
        <f ca="1">IF(H7,IF(IF(M7&gt;C7-1,1,(20-C7+Rechnungen!M7+1)/20)&lt;0,0,IF(M7&gt;C7-1,1,(20-C7+Rechnungen!M7+1)/20)),"")</f>
        <v>0.05</v>
      </c>
      <c r="R7" s="20">
        <f ca="1">IF(H7,IF(IF(N7&gt;E7-1,1,(20-E7+Rechnungen!N7+1)/20)&lt;0,0,IF(N7&gt;E7-1,1,(20-E7+Rechnungen!N7+1)/20)),"")</f>
        <v>0</v>
      </c>
      <c r="S7" s="20">
        <f>IF(OR(K7&gt;=C7-1,K7&lt;=C7-24),0,IF(K7&lt;(C7-5),4/20,(C7-Rechnungen!K7-1)/20))</f>
        <v>0.2</v>
      </c>
      <c r="T7" s="20">
        <f ca="1">IF(OR(L7&gt;=E7-1,L7&lt;=E7-24),0,IF(L7&lt;(E7-5),4/20,(E7-Rechnungen!L7-1)/20))</f>
        <v>0</v>
      </c>
      <c r="U7" s="20">
        <f t="shared" ca="1" si="3"/>
        <v>0.2</v>
      </c>
      <c r="V7" s="20">
        <f t="shared" ca="1" si="4"/>
        <v>0</v>
      </c>
      <c r="W7" s="20">
        <f t="shared" si="5"/>
        <v>0.75</v>
      </c>
      <c r="X7" s="20">
        <f t="shared" ca="1" si="6"/>
        <v>1</v>
      </c>
      <c r="Y7" s="20">
        <f t="shared" ca="1" si="7"/>
        <v>0.75</v>
      </c>
      <c r="Z7" s="20">
        <f t="shared" ca="1" si="8"/>
        <v>1</v>
      </c>
      <c r="AA7" t="str">
        <f ca="1">IF(OR(O7&lt;bestlist!$B$28,P7&lt;bestlist!$B$28),IF(O7&gt;P7,"best1","best2"),IF(H7,IF(AND(Q7=0,R7=0),IF(O7&gt;P7,"best1","best2"),IF(O7*R7&gt;=P7*Q7,"best1+alt2","alt1+best2")), "best+best"))</f>
        <v>best1</v>
      </c>
      <c r="AB7" s="21">
        <f t="shared" ca="1" si="10"/>
        <v>0</v>
      </c>
      <c r="AC7" s="21">
        <f t="shared" ca="1" si="0"/>
        <v>0.05</v>
      </c>
      <c r="AD7" s="22">
        <f t="shared" ca="1" si="1"/>
        <v>0.95</v>
      </c>
      <c r="AE7" s="22">
        <f t="shared" ca="1" si="9"/>
        <v>0</v>
      </c>
      <c r="AF7" s="26"/>
    </row>
    <row r="8" spans="1:32" x14ac:dyDescent="0.25">
      <c r="A8" s="32" t="s">
        <v>90</v>
      </c>
      <c r="B8" s="16" t="str">
        <f>LOOKUP(Rechnungen!$A8,'Challenge Liste'!$A$3:$A$27,'Challenge Liste'!$B$3:$B$27)</f>
        <v>Concentration</v>
      </c>
      <c r="C8" s="16">
        <f>LOOKUP(A8,'Challenge Liste'!A8:A32,'Challenge Liste'!E8:E32)</f>
        <v>27</v>
      </c>
      <c r="D8" s="16" t="str">
        <f>LOOKUP(Rechnungen!$A8,'Challenge Liste'!$A$3:$A$27,'Challenge Liste'!$F$3:$F$27)</f>
        <v>Diplo</v>
      </c>
      <c r="E8" s="16">
        <f>LOOKUP(A8,'Challenge Liste'!A8:A32,'Challenge Liste'!I8:I32)</f>
        <v>20</v>
      </c>
      <c r="F8" s="16" t="str">
        <f>LOOKUP(B8,'Skill Liste'!$B$2:$B$29,'Skill Liste'!$I$2:$I$29)</f>
        <v/>
      </c>
      <c r="G8" s="16" t="str">
        <f ca="1">LOOKUP(D8,'Skill Liste'!$B$2:$B$29,'Skill Liste'!$I$2:$I$28)</f>
        <v/>
      </c>
      <c r="H8" s="16" t="b">
        <f t="shared" ca="1" si="2"/>
        <v>1</v>
      </c>
      <c r="I8" s="16" t="str">
        <f ca="1">IF(H8,LOOKUP(LOOKUP(Rechnungen!$A8,'Challenge Liste'!$A$3:$A$27,'Challenge Liste'!$B$3:$B$27),'Skill Liste'!$B$2:$B$29,'Skill Liste'!$J$2:$J$28),"")</f>
        <v/>
      </c>
      <c r="J8" s="16" t="str">
        <f ca="1">IF(H8,LOOKUP(LOOKUP(Rechnungen!$A8,'Challenge Liste'!$A$3:$A$27,'Challenge Liste'!$F$3:$F$27),'Skill Liste'!$B$2:$B$29,'Skill Liste'!$J$2:$J$28),"")</f>
        <v/>
      </c>
      <c r="K8" s="16">
        <f>HLOOKUP(Rechnungen!$F8,'Skill Liste'!$C$1:$H$29,LOOKUP($B8,'Skill Liste'!$B$2:$B$29,'Skill Liste'!$A$2:$A$29),FALSE)</f>
        <v>0</v>
      </c>
      <c r="L8" s="16">
        <f ca="1">HLOOKUP(Rechnungen!$G8,'Skill Liste'!$C$1:$H$29,LOOKUP($D8,'Skill Liste'!$B$2:$B$29,'Skill Liste'!$A$2:$A$29),FALSE)</f>
        <v>0</v>
      </c>
      <c r="M8">
        <f ca="1">IF(H8,HLOOKUP(Rechnungen!$I8,'Skill Liste'!$C$1:$H$29,LOOKUP($B8,'Skill Liste'!$B$2:$B$29,'Skill Liste'!$A$2:$A$29),FALSE),"")</f>
        <v>0</v>
      </c>
      <c r="N8">
        <f ca="1">IF(H8,HLOOKUP(Rechnungen!$J8,'Skill Liste'!$C$1:$H$29,LOOKUP($D8,'Skill Liste'!$B$2:$B$29,'Skill Liste'!$A$2:$A$29),FALSE),"")</f>
        <v>0</v>
      </c>
      <c r="O8" s="20">
        <f>IF(IF(K8&gt;C8-1,1,(20-C8+Rechnungen!K8+1)/20)&lt;0,0,IF(K8&gt;C8-1,1,(20-C8+Rechnungen!K8+1)/20))</f>
        <v>0</v>
      </c>
      <c r="P8" s="20">
        <f ca="1">IF(IF(L8&gt;E8-1,1,(20-E8+Rechnungen!L8+1)/20)&lt;0,0,IF(L8&gt;E8-1,1,(20-E8+Rechnungen!L8+1)/20))</f>
        <v>0.05</v>
      </c>
      <c r="Q8" s="20">
        <f ca="1">IF(H8,IF(IF(M8&gt;C8-1,1,(20-C8+Rechnungen!M8+1)/20)&lt;0,0,IF(M8&gt;C8-1,1,(20-C8+Rechnungen!M8+1)/20)),"")</f>
        <v>0</v>
      </c>
      <c r="R8" s="20">
        <f ca="1">IF(H8,IF(IF(N8&gt;E8-1,1,(20-E8+Rechnungen!N8+1)/20)&lt;0,0,IF(N8&gt;E8-1,1,(20-E8+Rechnungen!N8+1)/20)),"")</f>
        <v>0.05</v>
      </c>
      <c r="S8" s="20">
        <f>IF(OR(K8&gt;=C8-1,K8&lt;=C8-24),0,IF(K8&lt;(C8-5),4/20,(C8-Rechnungen!K8-1)/20))</f>
        <v>0</v>
      </c>
      <c r="T8" s="20">
        <f ca="1">IF(OR(L8&gt;=E8-1,L8&lt;=E8-24),0,IF(L8&lt;(E8-5),4/20,(E8-Rechnungen!L8-1)/20))</f>
        <v>0.2</v>
      </c>
      <c r="U8" s="20">
        <f t="shared" ca="1" si="3"/>
        <v>0</v>
      </c>
      <c r="V8" s="20">
        <f t="shared" ca="1" si="4"/>
        <v>0.2</v>
      </c>
      <c r="W8" s="20">
        <f t="shared" si="5"/>
        <v>1</v>
      </c>
      <c r="X8" s="20">
        <f t="shared" ca="1" si="6"/>
        <v>0.75</v>
      </c>
      <c r="Y8" s="20">
        <f t="shared" ca="1" si="7"/>
        <v>1</v>
      </c>
      <c r="Z8" s="20">
        <f t="shared" ca="1" si="8"/>
        <v>0.75</v>
      </c>
      <c r="AA8" t="str">
        <f ca="1">IF(OR(O8&lt;bestlist!$B$28,P8&lt;bestlist!$B$28),IF(O8&gt;P8,"best1","best2"),IF(H8,IF(AND(Q8=0,R8=0),IF(O8&gt;P8,"best1","best2"),IF(O8*R8&gt;=P8*Q8,"best1+alt2","alt1+best2")), "best+best"))</f>
        <v>best2</v>
      </c>
      <c r="AB8" s="21">
        <f t="shared" ca="1" si="10"/>
        <v>0</v>
      </c>
      <c r="AC8" s="21">
        <f t="shared" ca="1" si="0"/>
        <v>0.05</v>
      </c>
      <c r="AD8" s="22">
        <f t="shared" ca="1" si="1"/>
        <v>0.95</v>
      </c>
      <c r="AE8" s="22">
        <f t="shared" ca="1" si="9"/>
        <v>0</v>
      </c>
      <c r="AF8" s="26"/>
    </row>
    <row r="9" spans="1:32" x14ac:dyDescent="0.25">
      <c r="A9" s="32" t="s">
        <v>91</v>
      </c>
      <c r="B9" s="16" t="str">
        <f>LOOKUP(Rechnungen!$A9,'Challenge Liste'!$A$3:$A$27,'Challenge Liste'!$B$3:$B$27)</f>
        <v>Bluff</v>
      </c>
      <c r="C9" s="16">
        <f>LOOKUP(A9,'Challenge Liste'!A9:A33,'Challenge Liste'!E9:E33)</f>
        <v>32</v>
      </c>
      <c r="D9" s="16" t="str">
        <f>LOOKUP(Rechnungen!$A9,'Challenge Liste'!$A$3:$A$27,'Challenge Liste'!$F$3:$F$27)</f>
        <v>Perform</v>
      </c>
      <c r="E9" s="16">
        <f>LOOKUP(A9,'Challenge Liste'!A9:A33,'Challenge Liste'!I9:I33)</f>
        <v>32</v>
      </c>
      <c r="F9" s="16" t="str">
        <f>LOOKUP(B9,'Skill Liste'!$B$2:$B$29,'Skill Liste'!$I$2:$I$29)</f>
        <v/>
      </c>
      <c r="G9" s="16" t="str">
        <f ca="1">LOOKUP(D9,'Skill Liste'!$B$2:$B$29,'Skill Liste'!$I$2:$I$28)</f>
        <v/>
      </c>
      <c r="H9" s="16" t="b">
        <f t="shared" ca="1" si="2"/>
        <v>1</v>
      </c>
      <c r="I9" s="16" t="str">
        <f ca="1">IF(H9,LOOKUP(LOOKUP(Rechnungen!$A9,'Challenge Liste'!$A$3:$A$27,'Challenge Liste'!$B$3:$B$27),'Skill Liste'!$B$2:$B$29,'Skill Liste'!$J$2:$J$28),"")</f>
        <v/>
      </c>
      <c r="J9" s="16" t="str">
        <f ca="1">IF(H9,LOOKUP(LOOKUP(Rechnungen!$A9,'Challenge Liste'!$A$3:$A$27,'Challenge Liste'!$F$3:$F$27),'Skill Liste'!$B$2:$B$29,'Skill Liste'!$J$2:$J$28),"")</f>
        <v/>
      </c>
      <c r="K9" s="16">
        <f>HLOOKUP(Rechnungen!$F9,'Skill Liste'!$C$1:$H$29,LOOKUP($B9,'Skill Liste'!$B$2:$B$29,'Skill Liste'!$A$2:$A$29),FALSE)</f>
        <v>0</v>
      </c>
      <c r="L9" s="16">
        <f ca="1">HLOOKUP(Rechnungen!$G9,'Skill Liste'!$C$1:$H$29,LOOKUP($D9,'Skill Liste'!$B$2:$B$29,'Skill Liste'!$A$2:$A$29),FALSE)</f>
        <v>0</v>
      </c>
      <c r="M9">
        <f ca="1">IF(H9,HLOOKUP(Rechnungen!$I9,'Skill Liste'!$C$1:$H$29,LOOKUP($B9,'Skill Liste'!$B$2:$B$29,'Skill Liste'!$A$2:$A$29),FALSE),"")</f>
        <v>0</v>
      </c>
      <c r="N9">
        <f ca="1">IF(H9,HLOOKUP(Rechnungen!$J9,'Skill Liste'!$C$1:$H$29,LOOKUP($D9,'Skill Liste'!$B$2:$B$29,'Skill Liste'!$A$2:$A$29),FALSE),"")</f>
        <v>0</v>
      </c>
      <c r="O9" s="20">
        <f>IF(IF(K9&gt;C9-1,1,(20-C9+Rechnungen!K9+1)/20)&lt;0,0,IF(K9&gt;C9-1,1,(20-C9+Rechnungen!K9+1)/20))</f>
        <v>0</v>
      </c>
      <c r="P9" s="20">
        <f ca="1">IF(IF(L9&gt;E9-1,1,(20-E9+Rechnungen!L9+1)/20)&lt;0,0,IF(L9&gt;E9-1,1,(20-E9+Rechnungen!L9+1)/20))</f>
        <v>0</v>
      </c>
      <c r="Q9" s="20">
        <f ca="1">IF(H9,IF(IF(M9&gt;C9-1,1,(20-C9+Rechnungen!M9+1)/20)&lt;0,0,IF(M9&gt;C9-1,1,(20-C9+Rechnungen!M9+1)/20)),"")</f>
        <v>0</v>
      </c>
      <c r="R9" s="20">
        <f ca="1">IF(H9,IF(IF(N9&gt;E9-1,1,(20-E9+Rechnungen!N9+1)/20)&lt;0,0,IF(N9&gt;E9-1,1,(20-E9+Rechnungen!N9+1)/20)),"")</f>
        <v>0</v>
      </c>
      <c r="S9" s="20">
        <f>IF(OR(K9&gt;=C9-1,K9&lt;=C9-24),0,IF(K9&lt;(C9-5),4/20,(C9-Rechnungen!K9-1)/20))</f>
        <v>0</v>
      </c>
      <c r="T9" s="20">
        <f ca="1">IF(OR(L9&gt;=E9-1,L9&lt;=E9-24),0,IF(L9&lt;(E9-5),4/20,(E9-Rechnungen!L9-1)/20))</f>
        <v>0</v>
      </c>
      <c r="U9" s="20">
        <f t="shared" ca="1" si="3"/>
        <v>0</v>
      </c>
      <c r="V9" s="20">
        <f t="shared" ca="1" si="4"/>
        <v>0</v>
      </c>
      <c r="W9" s="20">
        <f t="shared" si="5"/>
        <v>1</v>
      </c>
      <c r="X9" s="20">
        <f t="shared" ca="1" si="6"/>
        <v>1</v>
      </c>
      <c r="Y9" s="20">
        <f t="shared" ca="1" si="7"/>
        <v>1</v>
      </c>
      <c r="Z9" s="20">
        <f t="shared" ca="1" si="8"/>
        <v>1</v>
      </c>
      <c r="AA9" t="str">
        <f ca="1">IF(OR(O9&lt;bestlist!$B$28,P9&lt;bestlist!$B$28),IF(O9&gt;P9,"best1","best2"),IF(H9,IF(AND(Q9=0,R9=0),IF(O9&gt;P9,"best1","best2"),IF(O9*R9&gt;=P9*Q9,"best1+alt2","alt1+best2")), "best+best"))</f>
        <v>best2</v>
      </c>
      <c r="AB9" s="21">
        <f ca="1">IF(OR(AA9="best1",AA9="best2"),0,IF(AA9="best+best",O9*P9,IF(AA9="alt1+best2",P9*Q9,O9*R9)))</f>
        <v>0</v>
      </c>
      <c r="AC9" s="21">
        <f ca="1">IF(OR(AA9="best1",AA9="best2"),IF(AA9="best1",O9,P9),IF(AA9="best+best",O9*T9+P9*S9,IF(AA9="alt1+best2",Q9*T9+P9*U9,O9*V9+R9*S9)))</f>
        <v>0</v>
      </c>
      <c r="AD9" s="22">
        <f ca="1">IF(OR(AA9="best1",AA9="best2"),1-AC9,IF(AA9="best+best",O9*X9+W9*P9,IF(AA9="alt1+best2",Q9*X9+Y9*P9,O9*Z9+W9*R9)))</f>
        <v>1</v>
      </c>
      <c r="AE9" s="22">
        <f t="shared" ca="1" si="9"/>
        <v>0</v>
      </c>
      <c r="AF9" s="26"/>
    </row>
    <row r="10" spans="1:32" x14ac:dyDescent="0.25">
      <c r="A10" s="32" t="s">
        <v>92</v>
      </c>
      <c r="B10" s="16" t="str">
        <f>LOOKUP(Rechnungen!$A10,'Challenge Liste'!$A$3:$A$27,'Challenge Liste'!$B$3:$B$27)</f>
        <v>Craft (T)</v>
      </c>
      <c r="C10" s="16">
        <f>LOOKUP(A10,'Challenge Liste'!A10:A34,'Challenge Liste'!E10:E34)</f>
        <v>32</v>
      </c>
      <c r="D10" s="16" t="str">
        <f>LOOKUP(Rechnungen!$A10,'Challenge Liste'!$A$3:$A$27,'Challenge Liste'!$F$3:$F$27)</f>
        <v>Fortitude</v>
      </c>
      <c r="E10" s="16">
        <f>LOOKUP(A10,'Challenge Liste'!A10:A34,'Challenge Liste'!I10:I34)</f>
        <v>32</v>
      </c>
      <c r="F10" s="16" t="str">
        <f>LOOKUP(B10,'Skill Liste'!$B$2:$B$29,'Skill Liste'!$I$2:$I$29)</f>
        <v/>
      </c>
      <c r="G10" s="16" t="str">
        <f ca="1">LOOKUP(D10,'Skill Liste'!$B$2:$B$29,'Skill Liste'!$I$2:$I$28)</f>
        <v/>
      </c>
      <c r="H10" s="16" t="b">
        <f t="shared" ca="1" si="2"/>
        <v>1</v>
      </c>
      <c r="I10" s="16" t="str">
        <f ca="1">IF(H10,LOOKUP(LOOKUP(Rechnungen!$A10,'Challenge Liste'!$A$3:$A$27,'Challenge Liste'!$B$3:$B$27),'Skill Liste'!$B$2:$B$29,'Skill Liste'!$J$2:$J$28),"")</f>
        <v/>
      </c>
      <c r="J10" s="16" t="str">
        <f ca="1">IF(H10,LOOKUP(LOOKUP(Rechnungen!$A10,'Challenge Liste'!$A$3:$A$27,'Challenge Liste'!$F$3:$F$27),'Skill Liste'!$B$2:$B$29,'Skill Liste'!$J$2:$J$28),"")</f>
        <v/>
      </c>
      <c r="K10" s="16">
        <f>HLOOKUP(Rechnungen!$F10,'Skill Liste'!$C$1:$H$29,LOOKUP($B10,'Skill Liste'!$B$2:$B$29,'Skill Liste'!$A$2:$A$29),FALSE)</f>
        <v>0</v>
      </c>
      <c r="L10" s="16">
        <f ca="1">HLOOKUP(Rechnungen!$G10,'Skill Liste'!$C$1:$H$29,LOOKUP($D10,'Skill Liste'!$B$2:$B$29,'Skill Liste'!$A$2:$A$29),FALSE)</f>
        <v>0</v>
      </c>
      <c r="M10">
        <f ca="1">IF(H10,HLOOKUP(Rechnungen!$I10,'Skill Liste'!$C$1:$H$29,LOOKUP($B10,'Skill Liste'!$B$2:$B$29,'Skill Liste'!$A$2:$A$29),FALSE),"")</f>
        <v>0</v>
      </c>
      <c r="N10">
        <f ca="1">IF(H10,HLOOKUP(Rechnungen!$J10,'Skill Liste'!$C$1:$H$29,LOOKUP($D10,'Skill Liste'!$B$2:$B$29,'Skill Liste'!$A$2:$A$29),FALSE),"")</f>
        <v>0</v>
      </c>
      <c r="O10" s="20">
        <f>IF(IF(K10&gt;C10-1,1,(20-C10+Rechnungen!K10+1)/20)&lt;0,0,IF(K10&gt;C10-1,1,(20-C10+Rechnungen!K10+1)/20))</f>
        <v>0</v>
      </c>
      <c r="P10" s="20">
        <f ca="1">IF(IF(L10&gt;E10-1,1,(20-E10+Rechnungen!L10+1)/20)&lt;0,0,IF(L10&gt;E10-1,1,(20-E10+Rechnungen!L10+1)/20))</f>
        <v>0</v>
      </c>
      <c r="Q10" s="20">
        <f ca="1">IF(H10,IF(IF(M10&gt;C10-1,1,(20-C10+Rechnungen!M10+1)/20)&lt;0,0,IF(M10&gt;C10-1,1,(20-C10+Rechnungen!M10+1)/20)),"")</f>
        <v>0</v>
      </c>
      <c r="R10" s="20">
        <f ca="1">IF(H10,IF(IF(N10&gt;E10-1,1,(20-E10+Rechnungen!N10+1)/20)&lt;0,0,IF(N10&gt;E10-1,1,(20-E10+Rechnungen!N10+1)/20)),"")</f>
        <v>0</v>
      </c>
      <c r="S10" s="20">
        <f>IF(OR(K10&gt;=C10-1,K10&lt;=C10-24),0,IF(K10&lt;(C10-5),4/20,(C10-Rechnungen!K10-1)/20))</f>
        <v>0</v>
      </c>
      <c r="T10" s="20">
        <f ca="1">IF(OR(L10&gt;=E10-1,L10&lt;=E10-24),0,IF(L10&lt;(E10-5),4/20,(E10-Rechnungen!L10-1)/20))</f>
        <v>0</v>
      </c>
      <c r="U10" s="20">
        <f t="shared" ca="1" si="3"/>
        <v>0</v>
      </c>
      <c r="V10" s="20">
        <f t="shared" ca="1" si="4"/>
        <v>0</v>
      </c>
      <c r="W10" s="20">
        <f t="shared" si="5"/>
        <v>1</v>
      </c>
      <c r="X10" s="20">
        <f t="shared" ca="1" si="6"/>
        <v>1</v>
      </c>
      <c r="Y10" s="20">
        <f t="shared" ca="1" si="7"/>
        <v>1</v>
      </c>
      <c r="Z10" s="20">
        <f t="shared" ca="1" si="8"/>
        <v>1</v>
      </c>
      <c r="AA10" t="str">
        <f ca="1">IF(OR(O10&lt;bestlist!$B$28,P10&lt;bestlist!$B$28),IF(O10&gt;P10,"best1","best2"),IF(H10,IF(AND(Q10=0,R10=0),IF(O10&gt;P10,"best1","best2"),IF(O10*R10&gt;=P10*Q10,"best1+alt2","alt1+best2")), "best+best"))</f>
        <v>best2</v>
      </c>
      <c r="AB10" s="21">
        <f t="shared" ca="1" si="10"/>
        <v>0</v>
      </c>
      <c r="AC10" s="21">
        <f t="shared" ref="AC10:AC27" ca="1" si="11">IF(OR(AA10="best1",AA10="best2"),IF(AA10="best1",O10,P10),IF(AA10="best+best",O10*T10+P10*S10,IF(AA10="alt1+best2",Q10*T10+P10*U10,O10*V10+R10*S10)))</f>
        <v>0</v>
      </c>
      <c r="AD10" s="22">
        <f t="shared" ref="AD10:AD27" ca="1" si="12">IF(OR(AA10="best1",AA10="best2"),1-AC10,IF(AA10="best+best",O10*X10+W10*P10,IF(AA10="alt1+best2",Q10*X10+Y10*P10,O10*Z10+W10*R10)))</f>
        <v>1</v>
      </c>
      <c r="AE10" s="22">
        <f t="shared" ca="1" si="9"/>
        <v>0</v>
      </c>
      <c r="AF10" s="26"/>
    </row>
    <row r="11" spans="1:32" x14ac:dyDescent="0.25">
      <c r="A11" s="32" t="s">
        <v>93</v>
      </c>
      <c r="B11" s="16" t="str">
        <f>LOOKUP(Rechnungen!$A11,'Challenge Liste'!$A$3:$A$27,'Challenge Liste'!$B$3:$B$27)</f>
        <v>Sense Motive</v>
      </c>
      <c r="C11" s="16">
        <f>LOOKUP(A11,'Challenge Liste'!A11:A35,'Challenge Liste'!E11:E35)</f>
        <v>20</v>
      </c>
      <c r="D11" s="16" t="str">
        <f>LOOKUP(Rechnungen!$A11,'Challenge Liste'!$A$3:$A$27,'Challenge Liste'!$F$3:$F$27)</f>
        <v>Spellcraft</v>
      </c>
      <c r="E11" s="16">
        <f>LOOKUP(A11,'Challenge Liste'!A11:A35,'Challenge Liste'!I11:I35)</f>
        <v>32</v>
      </c>
      <c r="F11" s="16" t="str">
        <f>LOOKUP(B11,'Skill Liste'!$B$2:$B$29,'Skill Liste'!$I$2:$I$29)</f>
        <v/>
      </c>
      <c r="G11" s="16" t="str">
        <f ca="1">LOOKUP(D11,'Skill Liste'!$B$2:$B$29,'Skill Liste'!$I$2:$I$28)</f>
        <v/>
      </c>
      <c r="H11" s="16" t="b">
        <f t="shared" ca="1" si="2"/>
        <v>1</v>
      </c>
      <c r="I11" s="16" t="str">
        <f ca="1">IF(H11,LOOKUP(LOOKUP(Rechnungen!$A11,'Challenge Liste'!$A$3:$A$27,'Challenge Liste'!$B$3:$B$27),'Skill Liste'!$B$2:$B$29,'Skill Liste'!$J$2:$J$28),"")</f>
        <v/>
      </c>
      <c r="J11" s="16" t="str">
        <f ca="1">IF(H11,LOOKUP(LOOKUP(Rechnungen!$A11,'Challenge Liste'!$A$3:$A$27,'Challenge Liste'!$F$3:$F$27),'Skill Liste'!$B$2:$B$29,'Skill Liste'!$J$2:$J$28),"")</f>
        <v/>
      </c>
      <c r="K11" s="16">
        <f>HLOOKUP(Rechnungen!$F11,'Skill Liste'!$C$1:$H$29,LOOKUP($B11,'Skill Liste'!$B$2:$B$29,'Skill Liste'!$A$2:$A$29),FALSE)</f>
        <v>0</v>
      </c>
      <c r="L11" s="16">
        <f ca="1">HLOOKUP(Rechnungen!$G11,'Skill Liste'!$C$1:$H$29,LOOKUP($D11,'Skill Liste'!$B$2:$B$29,'Skill Liste'!$A$2:$A$29),FALSE)</f>
        <v>0</v>
      </c>
      <c r="M11">
        <f ca="1">IF(H11,HLOOKUP(Rechnungen!$I11,'Skill Liste'!$C$1:$H$29,LOOKUP($B11,'Skill Liste'!$B$2:$B$29,'Skill Liste'!$A$2:$A$29),FALSE),"")</f>
        <v>0</v>
      </c>
      <c r="N11">
        <f ca="1">IF(H11,HLOOKUP(Rechnungen!$J11,'Skill Liste'!$C$1:$H$29,LOOKUP($D11,'Skill Liste'!$B$2:$B$29,'Skill Liste'!$A$2:$A$29),FALSE),"")</f>
        <v>0</v>
      </c>
      <c r="O11" s="20">
        <f>IF(IF(K11&gt;C11-1,1,(20-C11+Rechnungen!K11+1)/20)&lt;0,0,IF(K11&gt;C11-1,1,(20-C11+Rechnungen!K11+1)/20))</f>
        <v>0.05</v>
      </c>
      <c r="P11" s="20">
        <f ca="1">IF(IF(L11&gt;E11-1,1,(20-E11+Rechnungen!L11+1)/20)&lt;0,0,IF(L11&gt;E11-1,1,(20-E11+Rechnungen!L11+1)/20))</f>
        <v>0</v>
      </c>
      <c r="Q11" s="20">
        <f ca="1">IF(H11,IF(IF(M11&gt;C11-1,1,(20-C11+Rechnungen!M11+1)/20)&lt;0,0,IF(M11&gt;C11-1,1,(20-C11+Rechnungen!M11+1)/20)),"")</f>
        <v>0.05</v>
      </c>
      <c r="R11" s="20">
        <f ca="1">IF(H11,IF(IF(N11&gt;E11-1,1,(20-E11+Rechnungen!N11+1)/20)&lt;0,0,IF(N11&gt;E11-1,1,(20-E11+Rechnungen!N11+1)/20)),"")</f>
        <v>0</v>
      </c>
      <c r="S11" s="20">
        <f>IF(OR(K11&gt;=C11-1,K11&lt;=C11-24),0,IF(K11&lt;(C11-5),4/20,(C11-Rechnungen!K11-1)/20))</f>
        <v>0.2</v>
      </c>
      <c r="T11" s="20">
        <f ca="1">IF(OR(L11&gt;=E11-1,L11&lt;=E11-24),0,IF(L11&lt;(E11-5),4/20,(E11-Rechnungen!L11-1)/20))</f>
        <v>0</v>
      </c>
      <c r="U11" s="20">
        <f t="shared" ca="1" si="3"/>
        <v>0.2</v>
      </c>
      <c r="V11" s="20">
        <f t="shared" ca="1" si="4"/>
        <v>0</v>
      </c>
      <c r="W11" s="20">
        <f t="shared" si="5"/>
        <v>0.75</v>
      </c>
      <c r="X11" s="20">
        <f t="shared" ca="1" si="6"/>
        <v>1</v>
      </c>
      <c r="Y11" s="20">
        <f t="shared" ca="1" si="7"/>
        <v>0.75</v>
      </c>
      <c r="Z11" s="20">
        <f t="shared" ca="1" si="8"/>
        <v>1</v>
      </c>
      <c r="AA11" t="str">
        <f ca="1">IF(OR(O11&lt;bestlist!$B$28,P11&lt;bestlist!$B$28),IF(O11&gt;P11,"best1","best2"),IF(H11,IF(AND(Q11=0,R11=0),IF(O11&gt;P11,"best1","best2"),IF(O11*R11&gt;=P11*Q11,"best1+alt2","alt1+best2")), "best+best"))</f>
        <v>best1</v>
      </c>
      <c r="AB11" s="21">
        <f t="shared" ca="1" si="10"/>
        <v>0</v>
      </c>
      <c r="AC11" s="21">
        <f t="shared" ca="1" si="11"/>
        <v>0.05</v>
      </c>
      <c r="AD11" s="22">
        <f t="shared" ca="1" si="12"/>
        <v>0.95</v>
      </c>
      <c r="AE11" s="22">
        <f t="shared" ca="1" si="9"/>
        <v>0</v>
      </c>
      <c r="AF11" s="26"/>
    </row>
    <row r="12" spans="1:32" x14ac:dyDescent="0.25">
      <c r="A12" s="32" t="s">
        <v>94</v>
      </c>
      <c r="B12" s="16" t="str">
        <f>LOOKUP(Rechnungen!$A12,'Challenge Liste'!$A$3:$A$27,'Challenge Liste'!$B$3:$B$27)</f>
        <v>Craft (T)</v>
      </c>
      <c r="C12" s="16">
        <f>LOOKUP(A12,'Challenge Liste'!A12:A36,'Challenge Liste'!E12:E36)</f>
        <v>27</v>
      </c>
      <c r="D12" s="16" t="str">
        <f>LOOKUP(Rechnungen!$A12,'Challenge Liste'!$A$3:$A$27,'Challenge Liste'!$F$3:$F$27)</f>
        <v>Sleight of</v>
      </c>
      <c r="E12" s="16">
        <f>LOOKUP(A12,'Challenge Liste'!A12:A36,'Challenge Liste'!I12:I36)</f>
        <v>27</v>
      </c>
      <c r="F12" s="16" t="str">
        <f>LOOKUP(B12,'Skill Liste'!$B$2:$B$29,'Skill Liste'!$I$2:$I$29)</f>
        <v/>
      </c>
      <c r="G12" s="16" t="str">
        <f ca="1">LOOKUP(D12,'Skill Liste'!$B$2:$B$29,'Skill Liste'!$I$2:$I$28)</f>
        <v/>
      </c>
      <c r="H12" s="16" t="b">
        <f t="shared" ca="1" si="2"/>
        <v>1</v>
      </c>
      <c r="I12" s="16" t="str">
        <f ca="1">IF(H12,LOOKUP(LOOKUP(Rechnungen!$A12,'Challenge Liste'!$A$3:$A$27,'Challenge Liste'!$B$3:$B$27),'Skill Liste'!$B$2:$B$29,'Skill Liste'!$J$2:$J$28),"")</f>
        <v/>
      </c>
      <c r="J12" s="16" t="str">
        <f ca="1">IF(H12,LOOKUP(LOOKUP(Rechnungen!$A12,'Challenge Liste'!$A$3:$A$27,'Challenge Liste'!$F$3:$F$27),'Skill Liste'!$B$2:$B$29,'Skill Liste'!$J$2:$J$28),"")</f>
        <v/>
      </c>
      <c r="K12" s="16">
        <f>HLOOKUP(Rechnungen!$F12,'Skill Liste'!$C$1:$H$29,LOOKUP($B12,'Skill Liste'!$B$2:$B$29,'Skill Liste'!$A$2:$A$29),FALSE)</f>
        <v>0</v>
      </c>
      <c r="L12" s="16">
        <f ca="1">HLOOKUP(Rechnungen!$G12,'Skill Liste'!$C$1:$H$29,LOOKUP($D12,'Skill Liste'!$B$2:$B$29,'Skill Liste'!$A$2:$A$29),FALSE)</f>
        <v>0</v>
      </c>
      <c r="M12">
        <f ca="1">IF(H12,HLOOKUP(Rechnungen!$I12,'Skill Liste'!$C$1:$H$29,LOOKUP($B12,'Skill Liste'!$B$2:$B$29,'Skill Liste'!$A$2:$A$29),FALSE),"")</f>
        <v>0</v>
      </c>
      <c r="N12">
        <f ca="1">IF(H12,HLOOKUP(Rechnungen!$J12,'Skill Liste'!$C$1:$H$29,LOOKUP($D12,'Skill Liste'!$B$2:$B$29,'Skill Liste'!$A$2:$A$29),FALSE),"")</f>
        <v>0</v>
      </c>
      <c r="O12" s="20">
        <f>IF(IF(K12&gt;C12-1,1,(20-C12+Rechnungen!K12+1)/20)&lt;0,0,IF(K12&gt;C12-1,1,(20-C12+Rechnungen!K12+1)/20))</f>
        <v>0</v>
      </c>
      <c r="P12" s="20">
        <f ca="1">IF(IF(L12&gt;E12-1,1,(20-E12+Rechnungen!L12+1)/20)&lt;0,0,IF(L12&gt;E12-1,1,(20-E12+Rechnungen!L12+1)/20))</f>
        <v>0</v>
      </c>
      <c r="Q12" s="20">
        <f ca="1">IF(H12,IF(IF(M12&gt;C12-1,1,(20-C12+Rechnungen!M12+1)/20)&lt;0,0,IF(M12&gt;C12-1,1,(20-C12+Rechnungen!M12+1)/20)),"")</f>
        <v>0</v>
      </c>
      <c r="R12" s="20">
        <f ca="1">IF(H12,IF(IF(N12&gt;E12-1,1,(20-E12+Rechnungen!N12+1)/20)&lt;0,0,IF(N12&gt;E12-1,1,(20-E12+Rechnungen!N12+1)/20)),"")</f>
        <v>0</v>
      </c>
      <c r="S12" s="20">
        <f>IF(OR(K12&gt;=C12-1,K12&lt;=C12-24),0,IF(K12&lt;(C12-5),4/20,(C12-Rechnungen!K12-1)/20))</f>
        <v>0</v>
      </c>
      <c r="T12" s="20">
        <f ca="1">IF(OR(L12&gt;=E12-1,L12&lt;=E12-24),0,IF(L12&lt;(E12-5),4/20,(E12-Rechnungen!L12-1)/20))</f>
        <v>0</v>
      </c>
      <c r="U12" s="20">
        <f t="shared" ca="1" si="3"/>
        <v>0</v>
      </c>
      <c r="V12" s="20">
        <f t="shared" ca="1" si="4"/>
        <v>0</v>
      </c>
      <c r="W12" s="20">
        <f t="shared" si="5"/>
        <v>1</v>
      </c>
      <c r="X12" s="20">
        <f t="shared" ca="1" si="6"/>
        <v>1</v>
      </c>
      <c r="Y12" s="20">
        <f t="shared" ca="1" si="7"/>
        <v>1</v>
      </c>
      <c r="Z12" s="20">
        <f t="shared" ca="1" si="8"/>
        <v>1</v>
      </c>
      <c r="AA12" t="str">
        <f ca="1">IF(OR(O12&lt;bestlist!$B$28,P12&lt;bestlist!$B$28),IF(O12&gt;P12,"best1","best2"),IF(H12,IF(AND(Q12=0,R12=0),IF(O12&gt;P12,"best1","best2"),IF(O12*R12&gt;=P12*Q12,"best1+alt2","alt1+best2")), "best+best"))</f>
        <v>best2</v>
      </c>
      <c r="AB12" s="21">
        <f t="shared" ca="1" si="10"/>
        <v>0</v>
      </c>
      <c r="AC12" s="21">
        <f t="shared" ca="1" si="11"/>
        <v>0</v>
      </c>
      <c r="AD12" s="22">
        <f t="shared" ca="1" si="12"/>
        <v>1</v>
      </c>
      <c r="AE12" s="22">
        <f t="shared" ca="1" si="9"/>
        <v>0</v>
      </c>
      <c r="AF12" s="26"/>
    </row>
    <row r="13" spans="1:32" x14ac:dyDescent="0.25">
      <c r="A13" s="32" t="s">
        <v>95</v>
      </c>
      <c r="B13" s="16" t="str">
        <f>LOOKUP(Rechnungen!$A13,'Challenge Liste'!$A$3:$A$27,'Challenge Liste'!$B$3:$B$27)</f>
        <v>Knw(His)</v>
      </c>
      <c r="C13" s="16">
        <f>LOOKUP(A13,'Challenge Liste'!A13:A37,'Challenge Liste'!E13:E37)</f>
        <v>25</v>
      </c>
      <c r="D13" s="16" t="str">
        <f>LOOKUP(Rechnungen!$A13,'Challenge Liste'!$A$3:$A$27,'Challenge Liste'!$F$3:$F$27)</f>
        <v>Spellcraft</v>
      </c>
      <c r="E13" s="16">
        <f>LOOKUP(A13,'Challenge Liste'!A13:A37,'Challenge Liste'!I13:I37)</f>
        <v>32</v>
      </c>
      <c r="F13" s="16" t="str">
        <f>LOOKUP(B13,'Skill Liste'!$B$2:$B$29,'Skill Liste'!$I$2:$I$29)</f>
        <v/>
      </c>
      <c r="G13" s="16" t="str">
        <f ca="1">LOOKUP(D13,'Skill Liste'!$B$2:$B$29,'Skill Liste'!$I$2:$I$28)</f>
        <v/>
      </c>
      <c r="H13" s="16" t="b">
        <f t="shared" ca="1" si="2"/>
        <v>1</v>
      </c>
      <c r="I13" s="16" t="str">
        <f ca="1">IF(H13,LOOKUP(LOOKUP(Rechnungen!$A13,'Challenge Liste'!$A$3:$A$27,'Challenge Liste'!$B$3:$B$27),'Skill Liste'!$B$2:$B$29,'Skill Liste'!$J$2:$J$28),"")</f>
        <v/>
      </c>
      <c r="J13" s="16" t="str">
        <f ca="1">IF(H13,LOOKUP(LOOKUP(Rechnungen!$A13,'Challenge Liste'!$A$3:$A$27,'Challenge Liste'!$F$3:$F$27),'Skill Liste'!$B$2:$B$29,'Skill Liste'!$J$2:$J$28),"")</f>
        <v/>
      </c>
      <c r="K13" s="16">
        <f>HLOOKUP(Rechnungen!$F13,'Skill Liste'!$C$1:$H$29,LOOKUP($B13,'Skill Liste'!$B$2:$B$29,'Skill Liste'!$A$2:$A$29),FALSE)</f>
        <v>0</v>
      </c>
      <c r="L13" s="16">
        <f ca="1">HLOOKUP(Rechnungen!$G13,'Skill Liste'!$C$1:$H$29,LOOKUP($D13,'Skill Liste'!$B$2:$B$29,'Skill Liste'!$A$2:$A$29),FALSE)</f>
        <v>0</v>
      </c>
      <c r="M13">
        <f ca="1">IF(H13,HLOOKUP(Rechnungen!$I13,'Skill Liste'!$C$1:$H$29,LOOKUP($B13,'Skill Liste'!$B$2:$B$29,'Skill Liste'!$A$2:$A$29),FALSE),"")</f>
        <v>0</v>
      </c>
      <c r="N13">
        <f ca="1">IF(H13,HLOOKUP(Rechnungen!$J13,'Skill Liste'!$C$1:$H$29,LOOKUP($D13,'Skill Liste'!$B$2:$B$29,'Skill Liste'!$A$2:$A$29),FALSE),"")</f>
        <v>0</v>
      </c>
      <c r="O13" s="20">
        <f>IF(IF(K13&gt;C13-1,1,(20-C13+Rechnungen!K13+1)/20)&lt;0,0,IF(K13&gt;C13-1,1,(20-C13+Rechnungen!K13+1)/20))</f>
        <v>0</v>
      </c>
      <c r="P13" s="20">
        <f ca="1">IF(IF(L13&gt;E13-1,1,(20-E13+Rechnungen!L13+1)/20)&lt;0,0,IF(L13&gt;E13-1,1,(20-E13+Rechnungen!L13+1)/20))</f>
        <v>0</v>
      </c>
      <c r="Q13" s="20">
        <f ca="1">IF(H13,IF(IF(M13&gt;C13-1,1,(20-C13+Rechnungen!M13+1)/20)&lt;0,0,IF(M13&gt;C13-1,1,(20-C13+Rechnungen!M13+1)/20)),"")</f>
        <v>0</v>
      </c>
      <c r="R13" s="20">
        <f ca="1">IF(H13,IF(IF(N13&gt;E13-1,1,(20-E13+Rechnungen!N13+1)/20)&lt;0,0,IF(N13&gt;E13-1,1,(20-E13+Rechnungen!N13+1)/20)),"")</f>
        <v>0</v>
      </c>
      <c r="S13" s="20">
        <f>IF(OR(K13&gt;=C13-1,K13&lt;=C13-24),0,IF(K13&lt;(C13-5),4/20,(C13-Rechnungen!K13-1)/20))</f>
        <v>0</v>
      </c>
      <c r="T13" s="20">
        <f ca="1">IF(OR(L13&gt;=E13-1,L13&lt;=E13-24),0,IF(L13&lt;(E13-5),4/20,(E13-Rechnungen!L13-1)/20))</f>
        <v>0</v>
      </c>
      <c r="U13" s="20">
        <f t="shared" ca="1" si="3"/>
        <v>0</v>
      </c>
      <c r="V13" s="20">
        <f t="shared" ca="1" si="4"/>
        <v>0</v>
      </c>
      <c r="W13" s="20">
        <f t="shared" si="5"/>
        <v>1</v>
      </c>
      <c r="X13" s="20">
        <f t="shared" ca="1" si="6"/>
        <v>1</v>
      </c>
      <c r="Y13" s="20">
        <f t="shared" ca="1" si="7"/>
        <v>1</v>
      </c>
      <c r="Z13" s="20">
        <f t="shared" ca="1" si="8"/>
        <v>1</v>
      </c>
      <c r="AA13" t="str">
        <f ca="1">IF(OR(O13&lt;bestlist!$B$28,P13&lt;bestlist!$B$28),IF(O13&gt;P13,"best1","best2"),IF(H13,IF(AND(Q13=0,R13=0),IF(O13&gt;P13,"best1","best2"),IF(O13*R13&gt;=P13*Q13,"best1+alt2","alt1+best2")), "best+best"))</f>
        <v>best2</v>
      </c>
      <c r="AB13" s="21">
        <f t="shared" ca="1" si="10"/>
        <v>0</v>
      </c>
      <c r="AC13" s="21">
        <f t="shared" ca="1" si="11"/>
        <v>0</v>
      </c>
      <c r="AD13" s="22">
        <f t="shared" ca="1" si="12"/>
        <v>1</v>
      </c>
      <c r="AE13" s="22">
        <f t="shared" ca="1" si="9"/>
        <v>0</v>
      </c>
      <c r="AF13" s="26"/>
    </row>
    <row r="14" spans="1:32" x14ac:dyDescent="0.25">
      <c r="A14" s="32" t="s">
        <v>96</v>
      </c>
      <c r="B14" s="16" t="str">
        <f>LOOKUP(Rechnungen!$A14,'Challenge Liste'!$A$3:$A$27,'Challenge Liste'!$B$3:$B$27)</f>
        <v>Knw(local)</v>
      </c>
      <c r="C14" s="16">
        <f>LOOKUP(A14,'Challenge Liste'!A14:A38,'Challenge Liste'!E14:E38)</f>
        <v>25</v>
      </c>
      <c r="D14" s="16" t="str">
        <f>LOOKUP(Rechnungen!$A14,'Challenge Liste'!$A$3:$A$27,'Challenge Liste'!$F$3:$F$27)</f>
        <v>Sleight of</v>
      </c>
      <c r="E14" s="16">
        <f>LOOKUP(A14,'Challenge Liste'!A14:A38,'Challenge Liste'!I14:I38)</f>
        <v>30</v>
      </c>
      <c r="F14" s="16" t="str">
        <f>LOOKUP(B14,'Skill Liste'!$B$2:$B$29,'Skill Liste'!$I$2:$I$29)</f>
        <v/>
      </c>
      <c r="G14" s="16" t="str">
        <f ca="1">LOOKUP(D14,'Skill Liste'!$B$2:$B$29,'Skill Liste'!$I$2:$I$28)</f>
        <v/>
      </c>
      <c r="H14" s="16" t="b">
        <f t="shared" ca="1" si="2"/>
        <v>1</v>
      </c>
      <c r="I14" s="16" t="str">
        <f ca="1">IF(H14,LOOKUP(LOOKUP(Rechnungen!$A14,'Challenge Liste'!$A$3:$A$27,'Challenge Liste'!$B$3:$B$27),'Skill Liste'!$B$2:$B$29,'Skill Liste'!$J$2:$J$28),"")</f>
        <v/>
      </c>
      <c r="J14" s="16" t="str">
        <f ca="1">IF(H14,LOOKUP(LOOKUP(Rechnungen!$A14,'Challenge Liste'!$A$3:$A$27,'Challenge Liste'!$F$3:$F$27),'Skill Liste'!$B$2:$B$29,'Skill Liste'!$J$2:$J$28),"")</f>
        <v/>
      </c>
      <c r="K14" s="16">
        <f>HLOOKUP(Rechnungen!$F14,'Skill Liste'!$C$1:$H$29,LOOKUP($B14,'Skill Liste'!$B$2:$B$29,'Skill Liste'!$A$2:$A$29),FALSE)</f>
        <v>0</v>
      </c>
      <c r="L14" s="16">
        <f ca="1">HLOOKUP(Rechnungen!$G14,'Skill Liste'!$C$1:$H$29,LOOKUP($D14,'Skill Liste'!$B$2:$B$29,'Skill Liste'!$A$2:$A$29),FALSE)</f>
        <v>0</v>
      </c>
      <c r="M14">
        <f ca="1">IF(H14,HLOOKUP(Rechnungen!$I14,'Skill Liste'!$C$1:$H$29,LOOKUP($B14,'Skill Liste'!$B$2:$B$29,'Skill Liste'!$A$2:$A$29),FALSE),"")</f>
        <v>0</v>
      </c>
      <c r="N14">
        <f ca="1">IF(H14,HLOOKUP(Rechnungen!$J14,'Skill Liste'!$C$1:$H$29,LOOKUP($D14,'Skill Liste'!$B$2:$B$29,'Skill Liste'!$A$2:$A$29),FALSE),"")</f>
        <v>0</v>
      </c>
      <c r="O14" s="20">
        <f>IF(IF(K14&gt;C14-1,1,(20-C14+Rechnungen!K14+1)/20)&lt;0,0,IF(K14&gt;C14-1,1,(20-C14+Rechnungen!K14+1)/20))</f>
        <v>0</v>
      </c>
      <c r="P14" s="20">
        <f ca="1">IF(IF(L14&gt;E14-1,1,(20-E14+Rechnungen!L14+1)/20)&lt;0,0,IF(L14&gt;E14-1,1,(20-E14+Rechnungen!L14+1)/20))</f>
        <v>0</v>
      </c>
      <c r="Q14" s="20">
        <f ca="1">IF(H14,IF(IF(M14&gt;C14-1,1,(20-C14+Rechnungen!M14+1)/20)&lt;0,0,IF(M14&gt;C14-1,1,(20-C14+Rechnungen!M14+1)/20)),"")</f>
        <v>0</v>
      </c>
      <c r="R14" s="20">
        <f ca="1">IF(H14,IF(IF(N14&gt;E14-1,1,(20-E14+Rechnungen!N14+1)/20)&lt;0,0,IF(N14&gt;E14-1,1,(20-E14+Rechnungen!N14+1)/20)),"")</f>
        <v>0</v>
      </c>
      <c r="S14" s="20">
        <f>IF(OR(K14&gt;=C14-1,K14&lt;=C14-24),0,IF(K14&lt;(C14-5),4/20,(C14-Rechnungen!K14-1)/20))</f>
        <v>0</v>
      </c>
      <c r="T14" s="20">
        <f ca="1">IF(OR(L14&gt;=E14-1,L14&lt;=E14-24),0,IF(L14&lt;(E14-5),4/20,(E14-Rechnungen!L14-1)/20))</f>
        <v>0</v>
      </c>
      <c r="U14" s="20">
        <f t="shared" ca="1" si="3"/>
        <v>0</v>
      </c>
      <c r="V14" s="20">
        <f t="shared" ca="1" si="4"/>
        <v>0</v>
      </c>
      <c r="W14" s="20">
        <f t="shared" si="5"/>
        <v>1</v>
      </c>
      <c r="X14" s="20">
        <f t="shared" ca="1" si="6"/>
        <v>1</v>
      </c>
      <c r="Y14" s="20">
        <f t="shared" ca="1" si="7"/>
        <v>1</v>
      </c>
      <c r="Z14" s="20">
        <f t="shared" ca="1" si="8"/>
        <v>1</v>
      </c>
      <c r="AA14" t="str">
        <f ca="1">IF(OR(O14&lt;bestlist!$B$28,P14&lt;bestlist!$B$28),IF(O14&gt;P14,"best1","best2"),IF(H14,IF(AND(Q14=0,R14=0),IF(O14&gt;P14,"best1","best2"),IF(O14*R14&gt;=P14*Q14,"best1+alt2","alt1+best2")), "best+best"))</f>
        <v>best2</v>
      </c>
      <c r="AB14" s="21">
        <f t="shared" ca="1" si="10"/>
        <v>0</v>
      </c>
      <c r="AC14" s="21">
        <f t="shared" ca="1" si="11"/>
        <v>0</v>
      </c>
      <c r="AD14" s="22">
        <f t="shared" ca="1" si="12"/>
        <v>1</v>
      </c>
      <c r="AE14" s="22">
        <f t="shared" ca="1" si="9"/>
        <v>0</v>
      </c>
      <c r="AF14" s="26"/>
    </row>
    <row r="15" spans="1:32" x14ac:dyDescent="0.25">
      <c r="A15" s="32" t="s">
        <v>97</v>
      </c>
      <c r="B15" s="16" t="str">
        <f>LOOKUP(Rechnungen!$A15,'Challenge Liste'!$A$3:$A$27,'Challenge Liste'!$B$3:$B$27)</f>
        <v>Appraise</v>
      </c>
      <c r="C15" s="16">
        <f>LOOKUP(A15,'Challenge Liste'!A15:A39,'Challenge Liste'!E15:E39)</f>
        <v>25</v>
      </c>
      <c r="D15" s="16" t="str">
        <f>LOOKUP(Rechnungen!$A15,'Challenge Liste'!$A$3:$A$27,'Challenge Liste'!$F$3:$F$27)</f>
        <v>Heal</v>
      </c>
      <c r="E15" s="16">
        <f>LOOKUP(A15,'Challenge Liste'!A15:A39,'Challenge Liste'!I15:I39)</f>
        <v>30</v>
      </c>
      <c r="F15" s="16" t="str">
        <f>LOOKUP(B15,'Skill Liste'!$B$2:$B$29,'Skill Liste'!$I$2:$I$29)</f>
        <v/>
      </c>
      <c r="G15" s="16" t="str">
        <f ca="1">LOOKUP(D15,'Skill Liste'!$B$2:$B$29,'Skill Liste'!$I$2:$I$28)</f>
        <v/>
      </c>
      <c r="H15" s="16" t="b">
        <f t="shared" ca="1" si="2"/>
        <v>1</v>
      </c>
      <c r="I15" s="16" t="str">
        <f ca="1">IF(H15,LOOKUP(LOOKUP(Rechnungen!$A15,'Challenge Liste'!$A$3:$A$27,'Challenge Liste'!$B$3:$B$27),'Skill Liste'!$B$2:$B$29,'Skill Liste'!$J$2:$J$28),"")</f>
        <v/>
      </c>
      <c r="J15" s="16" t="str">
        <f ca="1">IF(H15,LOOKUP(LOOKUP(Rechnungen!$A15,'Challenge Liste'!$A$3:$A$27,'Challenge Liste'!$F$3:$F$27),'Skill Liste'!$B$2:$B$29,'Skill Liste'!$J$2:$J$28),"")</f>
        <v/>
      </c>
      <c r="K15" s="16">
        <f>HLOOKUP(Rechnungen!$F15,'Skill Liste'!$C$1:$H$29,LOOKUP($B15,'Skill Liste'!$B$2:$B$29,'Skill Liste'!$A$2:$A$29),FALSE)</f>
        <v>0</v>
      </c>
      <c r="L15" s="16">
        <f ca="1">HLOOKUP(Rechnungen!$G15,'Skill Liste'!$C$1:$H$29,LOOKUP($D15,'Skill Liste'!$B$2:$B$29,'Skill Liste'!$A$2:$A$29),FALSE)</f>
        <v>0</v>
      </c>
      <c r="M15">
        <f ca="1">IF(H15,HLOOKUP(Rechnungen!$I15,'Skill Liste'!$C$1:$H$29,LOOKUP($B15,'Skill Liste'!$B$2:$B$29,'Skill Liste'!$A$2:$A$29),FALSE),"")</f>
        <v>0</v>
      </c>
      <c r="N15">
        <f ca="1">IF(H15,HLOOKUP(Rechnungen!$J15,'Skill Liste'!$C$1:$H$29,LOOKUP($D15,'Skill Liste'!$B$2:$B$29,'Skill Liste'!$A$2:$A$29),FALSE),"")</f>
        <v>0</v>
      </c>
      <c r="O15" s="20">
        <f>IF(IF(K15&gt;C15-1,1,(20-C15+Rechnungen!K15+1)/20)&lt;0,0,IF(K15&gt;C15-1,1,(20-C15+Rechnungen!K15+1)/20))</f>
        <v>0</v>
      </c>
      <c r="P15" s="20">
        <f ca="1">IF(IF(L15&gt;E15-1,1,(20-E15+Rechnungen!L15+1)/20)&lt;0,0,IF(L15&gt;E15-1,1,(20-E15+Rechnungen!L15+1)/20))</f>
        <v>0</v>
      </c>
      <c r="Q15" s="20">
        <f ca="1">IF(H15,IF(IF(M15&gt;C15-1,1,(20-C15+Rechnungen!M15+1)/20)&lt;0,0,IF(M15&gt;C15-1,1,(20-C15+Rechnungen!M15+1)/20)),"")</f>
        <v>0</v>
      </c>
      <c r="R15" s="20">
        <f ca="1">IF(H15,IF(IF(N15&gt;E15-1,1,(20-E15+Rechnungen!N15+1)/20)&lt;0,0,IF(N15&gt;E15-1,1,(20-E15+Rechnungen!N15+1)/20)),"")</f>
        <v>0</v>
      </c>
      <c r="S15" s="20">
        <f>IF(OR(K15&gt;=C15-1,K15&lt;=C15-24),0,IF(K15&lt;(C15-5),4/20,(C15-Rechnungen!K15-1)/20))</f>
        <v>0</v>
      </c>
      <c r="T15" s="20">
        <f ca="1">IF(OR(L15&gt;=E15-1,L15&lt;=E15-24),0,IF(L15&lt;(E15-5),4/20,(E15-Rechnungen!L15-1)/20))</f>
        <v>0</v>
      </c>
      <c r="U15" s="20">
        <f t="shared" ca="1" si="3"/>
        <v>0</v>
      </c>
      <c r="V15" s="20">
        <f t="shared" ca="1" si="4"/>
        <v>0</v>
      </c>
      <c r="W15" s="20">
        <f t="shared" si="5"/>
        <v>1</v>
      </c>
      <c r="X15" s="20">
        <f t="shared" ca="1" si="6"/>
        <v>1</v>
      </c>
      <c r="Y15" s="20">
        <f t="shared" ca="1" si="7"/>
        <v>1</v>
      </c>
      <c r="Z15" s="20">
        <f t="shared" ca="1" si="8"/>
        <v>1</v>
      </c>
      <c r="AA15" t="str">
        <f ca="1">IF(OR(O15&lt;bestlist!$B$28,P15&lt;bestlist!$B$28),IF(O15&gt;P15,"best1","best2"),IF(H15,IF(AND(Q15=0,R15=0),IF(O15&gt;P15,"best1","best2"),IF(O15*R15&gt;=P15*Q15,"best1+alt2","alt1+best2")), "best+best"))</f>
        <v>best2</v>
      </c>
      <c r="AB15" s="21">
        <f t="shared" ca="1" si="10"/>
        <v>0</v>
      </c>
      <c r="AC15" s="21">
        <f t="shared" ca="1" si="11"/>
        <v>0</v>
      </c>
      <c r="AD15" s="22">
        <f t="shared" ca="1" si="12"/>
        <v>1</v>
      </c>
      <c r="AE15" s="22">
        <f t="shared" ca="1" si="9"/>
        <v>0</v>
      </c>
      <c r="AF15" s="26"/>
    </row>
    <row r="16" spans="1:32" x14ac:dyDescent="0.25">
      <c r="A16" s="32" t="s">
        <v>98</v>
      </c>
      <c r="B16" s="16" t="str">
        <f>LOOKUP(Rechnungen!$A16,'Challenge Liste'!$A$3:$A$27,'Challenge Liste'!$B$3:$B$27)</f>
        <v>Handle Animal</v>
      </c>
      <c r="C16" s="16">
        <f>LOOKUP(A16,'Challenge Liste'!A16:A40,'Challenge Liste'!E16:E40)</f>
        <v>30</v>
      </c>
      <c r="D16" s="16" t="str">
        <f>LOOKUP(Rechnungen!$A16,'Challenge Liste'!$A$3:$A$27,'Challenge Liste'!$F$3:$F$27)</f>
        <v>Spellcraft</v>
      </c>
      <c r="E16" s="16">
        <f>LOOKUP(A16,'Challenge Liste'!A16:A40,'Challenge Liste'!I16:I40)</f>
        <v>27</v>
      </c>
      <c r="F16" s="16" t="str">
        <f>LOOKUP(B16,'Skill Liste'!$B$2:$B$29,'Skill Liste'!$I$2:$I$29)</f>
        <v/>
      </c>
      <c r="G16" s="16" t="str">
        <f ca="1">LOOKUP(D16,'Skill Liste'!$B$2:$B$29,'Skill Liste'!$I$2:$I$28)</f>
        <v/>
      </c>
      <c r="H16" s="16" t="b">
        <f t="shared" ca="1" si="2"/>
        <v>1</v>
      </c>
      <c r="I16" s="16" t="str">
        <f ca="1">IF(H16,LOOKUP(LOOKUP(Rechnungen!$A16,'Challenge Liste'!$A$3:$A$27,'Challenge Liste'!$B$3:$B$27),'Skill Liste'!$B$2:$B$29,'Skill Liste'!$J$2:$J$28),"")</f>
        <v/>
      </c>
      <c r="J16" s="16" t="str">
        <f ca="1">IF(H16,LOOKUP(LOOKUP(Rechnungen!$A16,'Challenge Liste'!$A$3:$A$27,'Challenge Liste'!$F$3:$F$27),'Skill Liste'!$B$2:$B$29,'Skill Liste'!$J$2:$J$28),"")</f>
        <v/>
      </c>
      <c r="K16" s="16">
        <f>HLOOKUP(Rechnungen!$F16,'Skill Liste'!$C$1:$H$29,LOOKUP($B16,'Skill Liste'!$B$2:$B$29,'Skill Liste'!$A$2:$A$29),FALSE)</f>
        <v>0</v>
      </c>
      <c r="L16" s="16">
        <f ca="1">HLOOKUP(Rechnungen!$G16,'Skill Liste'!$C$1:$H$29,LOOKUP($D16,'Skill Liste'!$B$2:$B$29,'Skill Liste'!$A$2:$A$29),FALSE)</f>
        <v>0</v>
      </c>
      <c r="M16">
        <f ca="1">IF(H16,HLOOKUP(Rechnungen!$I16,'Skill Liste'!$C$1:$H$29,LOOKUP($B16,'Skill Liste'!$B$2:$B$29,'Skill Liste'!$A$2:$A$29),FALSE),"")</f>
        <v>0</v>
      </c>
      <c r="N16">
        <f ca="1">IF(H16,HLOOKUP(Rechnungen!$J16,'Skill Liste'!$C$1:$H$29,LOOKUP($D16,'Skill Liste'!$B$2:$B$29,'Skill Liste'!$A$2:$A$29),FALSE),"")</f>
        <v>0</v>
      </c>
      <c r="O16" s="20">
        <f>IF(IF(K16&gt;C16-1,1,(20-C16+Rechnungen!K16+1)/20)&lt;0,0,IF(K16&gt;C16-1,1,(20-C16+Rechnungen!K16+1)/20))</f>
        <v>0</v>
      </c>
      <c r="P16" s="20">
        <f ca="1">IF(IF(L16&gt;E16-1,1,(20-E16+Rechnungen!L16+1)/20)&lt;0,0,IF(L16&gt;E16-1,1,(20-E16+Rechnungen!L16+1)/20))</f>
        <v>0</v>
      </c>
      <c r="Q16" s="20">
        <f ca="1">IF(H16,IF(IF(M16&gt;C16-1,1,(20-C16+Rechnungen!M16+1)/20)&lt;0,0,IF(M16&gt;C16-1,1,(20-C16+Rechnungen!M16+1)/20)),"")</f>
        <v>0</v>
      </c>
      <c r="R16" s="20">
        <f ca="1">IF(H16,IF(IF(N16&gt;E16-1,1,(20-E16+Rechnungen!N16+1)/20)&lt;0,0,IF(N16&gt;E16-1,1,(20-E16+Rechnungen!N16+1)/20)),"")</f>
        <v>0</v>
      </c>
      <c r="S16" s="20">
        <f>IF(OR(K16&gt;=C16-1,K16&lt;=C16-24),0,IF(K16&lt;(C16-5),4/20,(C16-Rechnungen!K16-1)/20))</f>
        <v>0</v>
      </c>
      <c r="T16" s="20">
        <f ca="1">IF(OR(L16&gt;=E16-1,L16&lt;=E16-24),0,IF(L16&lt;(E16-5),4/20,(E16-Rechnungen!L16-1)/20))</f>
        <v>0</v>
      </c>
      <c r="U16" s="20">
        <f t="shared" ca="1" si="3"/>
        <v>0</v>
      </c>
      <c r="V16" s="20">
        <f t="shared" ca="1" si="4"/>
        <v>0</v>
      </c>
      <c r="W16" s="20">
        <f>IF(IF(K16&gt;=C16-5,0,(C16-K16-5)/20)&gt;1,1,IF(K16&gt;=C16-5,0,(C16-K16-5)/20))</f>
        <v>1</v>
      </c>
      <c r="X16" s="20">
        <f t="shared" ca="1" si="6"/>
        <v>1</v>
      </c>
      <c r="Y16" s="20">
        <f t="shared" ca="1" si="7"/>
        <v>1</v>
      </c>
      <c r="Z16" s="20">
        <f t="shared" ca="1" si="8"/>
        <v>1</v>
      </c>
      <c r="AA16" t="str">
        <f ca="1">IF(OR(O16&lt;bestlist!$B$28,P16&lt;bestlist!$B$28),IF(O16&gt;P16,"best1","best2"),IF(H16,IF(AND(Q16=0,R16=0),IF(O16&gt;P16,"best1","best2"),IF(O16*R16&gt;=P16*Q16,"best1+alt2","alt1+best2")), "best+best"))</f>
        <v>best2</v>
      </c>
      <c r="AB16" s="21">
        <f t="shared" ca="1" si="10"/>
        <v>0</v>
      </c>
      <c r="AC16" s="21">
        <f t="shared" ca="1" si="11"/>
        <v>0</v>
      </c>
      <c r="AD16" s="22">
        <f t="shared" ca="1" si="12"/>
        <v>1</v>
      </c>
      <c r="AE16" s="22">
        <f t="shared" ca="1" si="9"/>
        <v>0</v>
      </c>
      <c r="AF16" s="26"/>
    </row>
    <row r="17" spans="1:32" x14ac:dyDescent="0.25">
      <c r="A17" s="32" t="s">
        <v>99</v>
      </c>
      <c r="B17" s="16" t="str">
        <f>LOOKUP(Rechnungen!$A17,'Challenge Liste'!$A$3:$A$27,'Challenge Liste'!$B$3:$B$27)</f>
        <v>Diplo</v>
      </c>
      <c r="C17" s="16">
        <f>LOOKUP(A17,'Challenge Liste'!A17:A41,'Challenge Liste'!E17:E41)</f>
        <v>32</v>
      </c>
      <c r="D17" s="16" t="str">
        <f>LOOKUP(Rechnungen!$A17,'Challenge Liste'!$A$3:$A$27,'Challenge Liste'!$F$3:$F$27)</f>
        <v>Knw(Rel)</v>
      </c>
      <c r="E17" s="16">
        <f>LOOKUP(A17,'Challenge Liste'!A17:A41,'Challenge Liste'!I17:I41)</f>
        <v>25</v>
      </c>
      <c r="F17" s="16" t="str">
        <f>LOOKUP(B17,'Skill Liste'!$B$2:$B$29,'Skill Liste'!$I$2:$I$29)</f>
        <v/>
      </c>
      <c r="G17" s="16" t="str">
        <f ca="1">LOOKUP(D17,'Skill Liste'!$B$2:$B$29,'Skill Liste'!$I$2:$I$28)</f>
        <v/>
      </c>
      <c r="H17" s="16" t="b">
        <f t="shared" ca="1" si="2"/>
        <v>1</v>
      </c>
      <c r="I17" s="16" t="str">
        <f ca="1">IF(H17,LOOKUP(LOOKUP(Rechnungen!$A17,'Challenge Liste'!$A$3:$A$27,'Challenge Liste'!$B$3:$B$27),'Skill Liste'!$B$2:$B$29,'Skill Liste'!$J$2:$J$28),"")</f>
        <v/>
      </c>
      <c r="J17" s="16" t="str">
        <f ca="1">IF(H17,LOOKUP(LOOKUP(Rechnungen!$A17,'Challenge Liste'!$A$3:$A$27,'Challenge Liste'!$F$3:$F$27),'Skill Liste'!$B$2:$B$29,'Skill Liste'!$J$2:$J$28),"")</f>
        <v/>
      </c>
      <c r="K17" s="16">
        <f>HLOOKUP(Rechnungen!$F17,'Skill Liste'!$C$1:$H$29,LOOKUP($B17,'Skill Liste'!$B$2:$B$29,'Skill Liste'!$A$2:$A$29),FALSE)</f>
        <v>0</v>
      </c>
      <c r="L17" s="16">
        <f ca="1">HLOOKUP(Rechnungen!$G17,'Skill Liste'!$C$1:$H$29,LOOKUP($D17,'Skill Liste'!$B$2:$B$29,'Skill Liste'!$A$2:$A$29),FALSE)</f>
        <v>0</v>
      </c>
      <c r="M17">
        <f ca="1">IF(H17,HLOOKUP(Rechnungen!$I17,'Skill Liste'!$C$1:$H$29,LOOKUP($B17,'Skill Liste'!$B$2:$B$29,'Skill Liste'!$A$2:$A$29),FALSE),"")</f>
        <v>0</v>
      </c>
      <c r="N17">
        <f ca="1">IF(H17,HLOOKUP(Rechnungen!$J17,'Skill Liste'!$C$1:$H$29,LOOKUP($D17,'Skill Liste'!$B$2:$B$29,'Skill Liste'!$A$2:$A$29),FALSE),"")</f>
        <v>0</v>
      </c>
      <c r="O17" s="20">
        <f>IF(IF(K17&gt;C17-1,1,(20-C17+Rechnungen!K17+1)/20)&lt;0,0,IF(K17&gt;C17-1,1,(20-C17+Rechnungen!K17+1)/20))</f>
        <v>0</v>
      </c>
      <c r="P17" s="20">
        <f ca="1">IF(IF(L17&gt;E17-1,1,(20-E17+Rechnungen!L17+1)/20)&lt;0,0,IF(L17&gt;E17-1,1,(20-E17+Rechnungen!L17+1)/20))</f>
        <v>0</v>
      </c>
      <c r="Q17" s="20">
        <f ca="1">IF(H17,IF(IF(M17&gt;C17-1,1,(20-C17+Rechnungen!M17+1)/20)&lt;0,0,IF(M17&gt;C17-1,1,(20-C17+Rechnungen!M17+1)/20)),"")</f>
        <v>0</v>
      </c>
      <c r="R17" s="20">
        <f ca="1">IF(H17,IF(IF(N17&gt;E17-1,1,(20-E17+Rechnungen!N17+1)/20)&lt;0,0,IF(N17&gt;E17-1,1,(20-E17+Rechnungen!N17+1)/20)),"")</f>
        <v>0</v>
      </c>
      <c r="S17" s="20">
        <f>IF(OR(K17&gt;=C17-1,K17&lt;=C17-24),0,IF(K17&lt;(C17-5),4/20,(C17-Rechnungen!K17-1)/20))</f>
        <v>0</v>
      </c>
      <c r="T17" s="20">
        <f ca="1">IF(OR(L17&gt;=E17-1,L17&lt;=E17-24),0,IF(L17&lt;(E17-5),4/20,(E17-Rechnungen!L17-1)/20))</f>
        <v>0</v>
      </c>
      <c r="U17" s="20">
        <f t="shared" ca="1" si="3"/>
        <v>0</v>
      </c>
      <c r="V17" s="20">
        <f t="shared" ca="1" si="4"/>
        <v>0</v>
      </c>
      <c r="W17" s="20">
        <f t="shared" si="5"/>
        <v>1</v>
      </c>
      <c r="X17" s="20">
        <f t="shared" ca="1" si="6"/>
        <v>1</v>
      </c>
      <c r="Y17" s="20">
        <f t="shared" ca="1" si="7"/>
        <v>1</v>
      </c>
      <c r="Z17" s="20">
        <f t="shared" ca="1" si="8"/>
        <v>1</v>
      </c>
      <c r="AA17" t="str">
        <f ca="1">IF(OR(O17&lt;bestlist!$B$28,P17&lt;bestlist!$B$28),IF(O17&gt;P17,"best1","best2"),IF(H17,IF(AND(Q17=0,R17=0),IF(O17&gt;P17,"best1","best2"),IF(O17*R17&gt;=P17*Q17,"best1+alt2","alt1+best2")), "best+best"))</f>
        <v>best2</v>
      </c>
      <c r="AB17" s="21">
        <f t="shared" ca="1" si="10"/>
        <v>0</v>
      </c>
      <c r="AC17" s="21">
        <f t="shared" ca="1" si="11"/>
        <v>0</v>
      </c>
      <c r="AD17" s="22">
        <f t="shared" ca="1" si="12"/>
        <v>1</v>
      </c>
      <c r="AE17" s="22">
        <f t="shared" ca="1" si="9"/>
        <v>0</v>
      </c>
      <c r="AF17" s="26"/>
    </row>
    <row r="18" spans="1:32" x14ac:dyDescent="0.25">
      <c r="A18" s="32" t="s">
        <v>100</v>
      </c>
      <c r="B18" s="16" t="str">
        <f>LOOKUP(Rechnungen!$A18,'Challenge Liste'!$A$3:$A$27,'Challenge Liste'!$B$3:$B$27)</f>
        <v>Knw(arc)</v>
      </c>
      <c r="C18" s="16">
        <f>LOOKUP(A18,'Challenge Liste'!A18:A42,'Challenge Liste'!E18:E42)</f>
        <v>32</v>
      </c>
      <c r="D18" s="16" t="str">
        <f>LOOKUP(Rechnungen!$A18,'Challenge Liste'!$A$3:$A$27,'Challenge Liste'!$F$3:$F$27)</f>
        <v>Knw(geo)</v>
      </c>
      <c r="E18" s="16">
        <f>LOOKUP(A18,'Challenge Liste'!A18:A42,'Challenge Liste'!I18:I42)</f>
        <v>25</v>
      </c>
      <c r="F18" s="16" t="str">
        <f>LOOKUP(B18,'Skill Liste'!$B$2:$B$29,'Skill Liste'!$I$2:$I$29)</f>
        <v/>
      </c>
      <c r="G18" s="16" t="str">
        <f ca="1">LOOKUP(D18,'Skill Liste'!$B$2:$B$29,'Skill Liste'!$I$2:$I$28)</f>
        <v/>
      </c>
      <c r="H18" s="16" t="b">
        <f t="shared" ca="1" si="2"/>
        <v>1</v>
      </c>
      <c r="I18" s="16" t="str">
        <f ca="1">IF(H18,LOOKUP(LOOKUP(Rechnungen!$A18,'Challenge Liste'!$A$3:$A$27,'Challenge Liste'!$B$3:$B$27),'Skill Liste'!$B$2:$B$29,'Skill Liste'!$J$2:$J$28),"")</f>
        <v/>
      </c>
      <c r="J18" s="16" t="str">
        <f ca="1">IF(H18,LOOKUP(LOOKUP(Rechnungen!$A18,'Challenge Liste'!$A$3:$A$27,'Challenge Liste'!$F$3:$F$27),'Skill Liste'!$B$2:$B$29,'Skill Liste'!$J$2:$J$28),"")</f>
        <v/>
      </c>
      <c r="K18" s="16">
        <f>HLOOKUP(Rechnungen!$F18,'Skill Liste'!$C$1:$H$29,LOOKUP($B18,'Skill Liste'!$B$2:$B$29,'Skill Liste'!$A$2:$A$29),FALSE)</f>
        <v>0</v>
      </c>
      <c r="L18" s="16">
        <f ca="1">HLOOKUP(Rechnungen!$G18,'Skill Liste'!$C$1:$H$29,LOOKUP($D18,'Skill Liste'!$B$2:$B$29,'Skill Liste'!$A$2:$A$29),FALSE)</f>
        <v>0</v>
      </c>
      <c r="M18">
        <f ca="1">IF(H18,HLOOKUP(Rechnungen!$I18,'Skill Liste'!$C$1:$H$29,LOOKUP($B18,'Skill Liste'!$B$2:$B$29,'Skill Liste'!$A$2:$A$29),FALSE),"")</f>
        <v>0</v>
      </c>
      <c r="N18">
        <f ca="1">IF(H18,HLOOKUP(Rechnungen!$J18,'Skill Liste'!$C$1:$H$29,LOOKUP($D18,'Skill Liste'!$B$2:$B$29,'Skill Liste'!$A$2:$A$29),FALSE),"")</f>
        <v>0</v>
      </c>
      <c r="O18" s="20">
        <f>IF(IF(K18&gt;C18-1,1,(20-C18+Rechnungen!K18+1)/20)&lt;0,0,IF(K18&gt;C18-1,1,(20-C18+Rechnungen!K18+1)/20))</f>
        <v>0</v>
      </c>
      <c r="P18" s="20">
        <f ca="1">IF(IF(L18&gt;E18-1,1,(20-E18+Rechnungen!L18+1)/20)&lt;0,0,IF(L18&gt;E18-1,1,(20-E18+Rechnungen!L18+1)/20))</f>
        <v>0</v>
      </c>
      <c r="Q18" s="20">
        <f ca="1">IF(H18,IF(IF(M18&gt;C18-1,1,(20-C18+Rechnungen!M18+1)/20)&lt;0,0,IF(M18&gt;C18-1,1,(20-C18+Rechnungen!M18+1)/20)),"")</f>
        <v>0</v>
      </c>
      <c r="R18" s="20">
        <f ca="1">IF(H18,IF(IF(N18&gt;E18-1,1,(20-E18+Rechnungen!N18+1)/20)&lt;0,0,IF(N18&gt;E18-1,1,(20-E18+Rechnungen!N18+1)/20)),"")</f>
        <v>0</v>
      </c>
      <c r="S18" s="20">
        <f>IF(OR(K18&gt;=C18-1,K18&lt;=C18-24),0,IF(K18&lt;(C18-5),4/20,(C18-Rechnungen!K18-1)/20))</f>
        <v>0</v>
      </c>
      <c r="T18" s="20">
        <f ca="1">IF(OR(L18&gt;=E18-1,L18&lt;=E18-24),0,IF(L18&lt;(E18-5),4/20,(E18-Rechnungen!L18-1)/20))</f>
        <v>0</v>
      </c>
      <c r="U18" s="20">
        <f t="shared" ca="1" si="3"/>
        <v>0</v>
      </c>
      <c r="V18" s="20">
        <f t="shared" ca="1" si="4"/>
        <v>0</v>
      </c>
      <c r="W18" s="20">
        <f t="shared" si="5"/>
        <v>1</v>
      </c>
      <c r="X18" s="20">
        <f t="shared" ca="1" si="6"/>
        <v>1</v>
      </c>
      <c r="Y18" s="20">
        <f t="shared" ca="1" si="7"/>
        <v>1</v>
      </c>
      <c r="Z18" s="20">
        <f t="shared" ca="1" si="8"/>
        <v>1</v>
      </c>
      <c r="AA18" t="str">
        <f ca="1">IF(OR(O18&lt;bestlist!$B$28,P18&lt;bestlist!$B$28),IF(O18&gt;P18,"best1","best2"),IF(H18,IF(AND(Q18=0,R18=0),IF(O18&gt;P18,"best1","best2"),IF(O18*R18&gt;=P18*Q18,"best1+alt2","alt1+best2")), "best+best"))</f>
        <v>best2</v>
      </c>
      <c r="AB18" s="21">
        <f ca="1">IF(OR(AA18="best1",AA18="best2"),0,IF(AA18="best+best",O18*P18,IF(AA18="alt1+best2",P18*Q18,O18*R18)))</f>
        <v>0</v>
      </c>
      <c r="AC18" s="21">
        <f t="shared" ca="1" si="11"/>
        <v>0</v>
      </c>
      <c r="AD18" s="22">
        <f t="shared" ca="1" si="12"/>
        <v>1</v>
      </c>
      <c r="AE18" s="22">
        <f t="shared" ca="1" si="9"/>
        <v>0</v>
      </c>
      <c r="AF18" s="26"/>
    </row>
    <row r="19" spans="1:32" x14ac:dyDescent="0.25">
      <c r="A19" s="32" t="s">
        <v>101</v>
      </c>
      <c r="B19" s="16" t="str">
        <f>LOOKUP(Rechnungen!$A19,'Challenge Liste'!$A$3:$A$27,'Challenge Liste'!$B$3:$B$27)</f>
        <v>Perform</v>
      </c>
      <c r="C19" s="16">
        <f>LOOKUP(A19,'Challenge Liste'!A19:A43,'Challenge Liste'!E19:E43)</f>
        <v>27</v>
      </c>
      <c r="D19" s="16" t="str">
        <f>LOOKUP(Rechnungen!$A19,'Challenge Liste'!$A$3:$A$27,'Challenge Liste'!$F$3:$F$27)</f>
        <v>Spellcraft</v>
      </c>
      <c r="E19" s="16">
        <f>LOOKUP(A19,'Challenge Liste'!A19:A43,'Challenge Liste'!I19:I43)</f>
        <v>27</v>
      </c>
      <c r="F19" s="16" t="str">
        <f>LOOKUP(B19,'Skill Liste'!$B$2:$B$29,'Skill Liste'!$I$2:$I$29)</f>
        <v/>
      </c>
      <c r="G19" s="16" t="str">
        <f ca="1">LOOKUP(D19,'Skill Liste'!$B$2:$B$29,'Skill Liste'!$I$2:$I$28)</f>
        <v/>
      </c>
      <c r="H19" s="16" t="b">
        <f t="shared" ca="1" si="2"/>
        <v>1</v>
      </c>
      <c r="I19" s="16" t="str">
        <f ca="1">IF(H19,LOOKUP(LOOKUP(Rechnungen!$A19,'Challenge Liste'!$A$3:$A$27,'Challenge Liste'!$B$3:$B$27),'Skill Liste'!$B$2:$B$29,'Skill Liste'!$J$2:$J$28),"")</f>
        <v/>
      </c>
      <c r="J19" s="16" t="str">
        <f ca="1">IF(H19,LOOKUP(LOOKUP(Rechnungen!$A19,'Challenge Liste'!$A$3:$A$27,'Challenge Liste'!$F$3:$F$27),'Skill Liste'!$B$2:$B$29,'Skill Liste'!$J$2:$J$28),"")</f>
        <v/>
      </c>
      <c r="K19" s="16">
        <f>HLOOKUP(Rechnungen!$F19,'Skill Liste'!$C$1:$H$29,LOOKUP($B19,'Skill Liste'!$B$2:$B$29,'Skill Liste'!$A$2:$A$29),FALSE)</f>
        <v>0</v>
      </c>
      <c r="L19" s="16">
        <f ca="1">HLOOKUP(Rechnungen!$G19,'Skill Liste'!$C$1:$H$29,LOOKUP($D19,'Skill Liste'!$B$2:$B$29,'Skill Liste'!$A$2:$A$29),FALSE)</f>
        <v>0</v>
      </c>
      <c r="M19">
        <f ca="1">IF(H19,HLOOKUP(Rechnungen!$I19,'Skill Liste'!$C$1:$H$29,LOOKUP($B19,'Skill Liste'!$B$2:$B$29,'Skill Liste'!$A$2:$A$29),FALSE),"")</f>
        <v>0</v>
      </c>
      <c r="N19">
        <f ca="1">IF(H19,HLOOKUP(Rechnungen!$J19,'Skill Liste'!$C$1:$H$29,LOOKUP($D19,'Skill Liste'!$B$2:$B$29,'Skill Liste'!$A$2:$A$29),FALSE),"")</f>
        <v>0</v>
      </c>
      <c r="O19" s="20">
        <f>IF(IF(K19&gt;C19-1,1,(20-C19+Rechnungen!K19+1)/20)&lt;0,0,IF(K19&gt;C19-1,1,(20-C19+Rechnungen!K19+1)/20))</f>
        <v>0</v>
      </c>
      <c r="P19" s="20">
        <f ca="1">IF(IF(L19&gt;E19-1,1,(20-E19+Rechnungen!L19+1)/20)&lt;0,0,IF(L19&gt;E19-1,1,(20-E19+Rechnungen!L19+1)/20))</f>
        <v>0</v>
      </c>
      <c r="Q19" s="20">
        <f ca="1">IF(H19,IF(IF(M19&gt;C19-1,1,(20-C19+Rechnungen!M19+1)/20)&lt;0,0,IF(M19&gt;C19-1,1,(20-C19+Rechnungen!M19+1)/20)),"")</f>
        <v>0</v>
      </c>
      <c r="R19" s="20">
        <f ca="1">IF(H19,IF(IF(N19&gt;E19-1,1,(20-E19+Rechnungen!N19+1)/20)&lt;0,0,IF(N19&gt;E19-1,1,(20-E19+Rechnungen!N19+1)/20)),"")</f>
        <v>0</v>
      </c>
      <c r="S19" s="20">
        <f>IF(OR(K19&gt;=C19-1,K19&lt;=C19-24),0,IF(K19&lt;(C19-5),4/20,(C19-Rechnungen!K19-1)/20))</f>
        <v>0</v>
      </c>
      <c r="T19" s="20">
        <f ca="1">IF(OR(L19&gt;=E19-1,L19&lt;=E19-24),0,IF(L19&lt;(E19-5),4/20,(E19-Rechnungen!L19-1)/20))</f>
        <v>0</v>
      </c>
      <c r="U19" s="20">
        <f t="shared" ca="1" si="3"/>
        <v>0</v>
      </c>
      <c r="V19" s="20">
        <f t="shared" ca="1" si="4"/>
        <v>0</v>
      </c>
      <c r="W19" s="20">
        <f t="shared" si="5"/>
        <v>1</v>
      </c>
      <c r="X19" s="20">
        <f t="shared" ca="1" si="6"/>
        <v>1</v>
      </c>
      <c r="Y19" s="20">
        <f t="shared" ca="1" si="7"/>
        <v>1</v>
      </c>
      <c r="Z19" s="20">
        <f t="shared" ca="1" si="8"/>
        <v>1</v>
      </c>
      <c r="AA19" t="str">
        <f ca="1">IF(OR(O19&lt;bestlist!$B$28,P19&lt;bestlist!$B$28),IF(O19&gt;P19,"best1","best2"),IF(H19,IF(AND(Q19=0,R19=0),IF(O19&gt;P19,"best1","best2"),IF(O19*R19&gt;=P19*Q19,"best1+alt2","alt1+best2")), "best+best"))</f>
        <v>best2</v>
      </c>
      <c r="AB19" s="21">
        <f t="shared" ca="1" si="10"/>
        <v>0</v>
      </c>
      <c r="AC19" s="21">
        <f t="shared" ca="1" si="11"/>
        <v>0</v>
      </c>
      <c r="AD19" s="22">
        <f t="shared" ca="1" si="12"/>
        <v>1</v>
      </c>
      <c r="AE19" s="22">
        <f t="shared" ca="1" si="9"/>
        <v>0</v>
      </c>
      <c r="AF19" s="26"/>
    </row>
    <row r="20" spans="1:32" x14ac:dyDescent="0.25">
      <c r="A20" s="32" t="s">
        <v>108</v>
      </c>
      <c r="B20" s="16" t="str">
        <f>LOOKUP(Rechnungen!$A20,'Challenge Liste'!$A$3:$A$27,'Challenge Liste'!$B$3:$B$27)</f>
        <v>Diplo</v>
      </c>
      <c r="C20" s="16">
        <f>LOOKUP(A20,'Challenge Liste'!A20:A44,'Challenge Liste'!E20:E44)</f>
        <v>32</v>
      </c>
      <c r="D20" s="16" t="str">
        <f>LOOKUP(Rechnungen!$A20,'Challenge Liste'!$A$3:$A$27,'Challenge Liste'!$F$3:$F$27)</f>
        <v>Knw(planes)</v>
      </c>
      <c r="E20" s="16">
        <f>LOOKUP(A20,'Challenge Liste'!A20:A44,'Challenge Liste'!I20:I44)</f>
        <v>25</v>
      </c>
      <c r="F20" s="16" t="str">
        <f>LOOKUP(B20,'Skill Liste'!$B$2:$B$29,'Skill Liste'!$I$2:$I$29)</f>
        <v/>
      </c>
      <c r="G20" s="16" t="str">
        <f ca="1">LOOKUP(D20,'Skill Liste'!$B$2:$B$29,'Skill Liste'!$I$2:$I$28)</f>
        <v/>
      </c>
      <c r="H20" s="16" t="b">
        <f t="shared" ca="1" si="2"/>
        <v>1</v>
      </c>
      <c r="I20" s="16" t="str">
        <f ca="1">IF(H20,LOOKUP(LOOKUP(Rechnungen!$A20,'Challenge Liste'!$A$3:$A$27,'Challenge Liste'!$B$3:$B$27),'Skill Liste'!$B$2:$B$29,'Skill Liste'!$J$2:$J$28),"")</f>
        <v/>
      </c>
      <c r="J20" s="16" t="str">
        <f ca="1">IF(H20,LOOKUP(LOOKUP(Rechnungen!$A20,'Challenge Liste'!$A$3:$A$27,'Challenge Liste'!$F$3:$F$27),'Skill Liste'!$B$2:$B$29,'Skill Liste'!$J$2:$J$28),"")</f>
        <v/>
      </c>
      <c r="K20" s="16">
        <f>HLOOKUP(Rechnungen!$F20,'Skill Liste'!$C$1:$H$29,LOOKUP($B20,'Skill Liste'!$B$2:$B$29,'Skill Liste'!$A$2:$A$29),FALSE)</f>
        <v>0</v>
      </c>
      <c r="L20" s="16">
        <f ca="1">HLOOKUP(Rechnungen!$G20,'Skill Liste'!$C$1:$H$29,LOOKUP($D20,'Skill Liste'!$B$2:$B$29,'Skill Liste'!$A$2:$A$29),FALSE)</f>
        <v>0</v>
      </c>
      <c r="M20">
        <f ca="1">IF(H20,HLOOKUP(Rechnungen!$I20,'Skill Liste'!$C$1:$H$29,LOOKUP($B20,'Skill Liste'!$B$2:$B$29,'Skill Liste'!$A$2:$A$29),FALSE),"")</f>
        <v>0</v>
      </c>
      <c r="N20">
        <f ca="1">IF(H20,HLOOKUP(Rechnungen!$J20,'Skill Liste'!$C$1:$H$29,LOOKUP($D20,'Skill Liste'!$B$2:$B$29,'Skill Liste'!$A$2:$A$29),FALSE),"")</f>
        <v>0</v>
      </c>
      <c r="O20" s="20">
        <f>IF(IF(K20&gt;C20-1,1,(20-C20+Rechnungen!K20+1)/20)&lt;0,0,IF(K20&gt;C20-1,1,(20-C20+Rechnungen!K20+1)/20))</f>
        <v>0</v>
      </c>
      <c r="P20" s="20">
        <f ca="1">IF(IF(L20&gt;E20-1,1,(20-E20+Rechnungen!L20+1)/20)&lt;0,0,IF(L20&gt;E20-1,1,(20-E20+Rechnungen!L20+1)/20))</f>
        <v>0</v>
      </c>
      <c r="Q20" s="20">
        <f ca="1">IF(H20,IF(IF(M20&gt;C20-1,1,(20-C20+Rechnungen!M20+1)/20)&lt;0,0,IF(M20&gt;C20-1,1,(20-C20+Rechnungen!M20+1)/20)),"")</f>
        <v>0</v>
      </c>
      <c r="R20" s="20">
        <f ca="1">IF(H20,IF(IF(N20&gt;E20-1,1,(20-E20+Rechnungen!N20+1)/20)&lt;0,0,IF(N20&gt;E20-1,1,(20-E20+Rechnungen!N20+1)/20)),"")</f>
        <v>0</v>
      </c>
      <c r="S20" s="20">
        <f>IF(OR(K20&gt;=C20-1,K20&lt;=C20-24),0,IF(K20&lt;(C20-5),4/20,(C20-Rechnungen!K20-1)/20))</f>
        <v>0</v>
      </c>
      <c r="T20" s="20">
        <f ca="1">IF(OR(L20&gt;=E20-1,L20&lt;=E20-24),0,IF(L20&lt;(E20-5),4/20,(E20-Rechnungen!L20-1)/20))</f>
        <v>0</v>
      </c>
      <c r="U20" s="20">
        <f t="shared" ca="1" si="3"/>
        <v>0</v>
      </c>
      <c r="V20" s="20">
        <f t="shared" ca="1" si="4"/>
        <v>0</v>
      </c>
      <c r="W20" s="20">
        <f t="shared" si="5"/>
        <v>1</v>
      </c>
      <c r="X20" s="20">
        <f t="shared" ca="1" si="6"/>
        <v>1</v>
      </c>
      <c r="Y20" s="20">
        <f t="shared" ca="1" si="7"/>
        <v>1</v>
      </c>
      <c r="Z20" s="20">
        <f t="shared" ca="1" si="8"/>
        <v>1</v>
      </c>
      <c r="AA20" t="str">
        <f ca="1">IF(OR(O20&lt;bestlist!$B$28,P20&lt;bestlist!$B$28),IF(O20&gt;P20,"best1","best2"),IF(H20,IF(AND(Q20=0,R20=0),IF(O20&gt;P20,"best1","best2"),IF(O20*R20&gt;=P20*Q20,"best1+alt2","alt1+best2")), "best+best"))</f>
        <v>best2</v>
      </c>
      <c r="AB20" s="21">
        <f t="shared" ca="1" si="10"/>
        <v>0</v>
      </c>
      <c r="AC20" s="21">
        <f t="shared" ca="1" si="11"/>
        <v>0</v>
      </c>
      <c r="AD20" s="22">
        <f t="shared" ca="1" si="12"/>
        <v>1</v>
      </c>
      <c r="AE20" s="22">
        <f t="shared" ca="1" si="9"/>
        <v>0</v>
      </c>
      <c r="AF20" s="26"/>
    </row>
    <row r="21" spans="1:32" x14ac:dyDescent="0.25">
      <c r="A21" s="33" t="s">
        <v>109</v>
      </c>
      <c r="B21" s="16" t="str">
        <f>LOOKUP(Rechnungen!$A21,'Challenge Liste'!$A$3:$A$27,'Challenge Liste'!$B$3:$B$27)</f>
        <v>Craft (T)</v>
      </c>
      <c r="C21" s="16">
        <f>LOOKUP(A21,'Challenge Liste'!A21:A45,'Challenge Liste'!E21:E45)</f>
        <v>27</v>
      </c>
      <c r="D21" s="16" t="str">
        <f>LOOKUP(Rechnungen!$A21,'Challenge Liste'!$A$3:$A$27,'Challenge Liste'!$F$3:$F$27)</f>
        <v>Spellcraft</v>
      </c>
      <c r="E21" s="16">
        <f>LOOKUP(A21,'Challenge Liste'!A21:A45,'Challenge Liste'!I21:I45)</f>
        <v>27</v>
      </c>
      <c r="F21" s="16" t="str">
        <f>LOOKUP(B21,'Skill Liste'!$B$2:$B$29,'Skill Liste'!$I$2:$I$29)</f>
        <v/>
      </c>
      <c r="G21" s="16" t="str">
        <f ca="1">LOOKUP(D21,'Skill Liste'!$B$2:$B$29,'Skill Liste'!$I$2:$I$28)</f>
        <v/>
      </c>
      <c r="H21" s="16" t="b">
        <f t="shared" ca="1" si="2"/>
        <v>1</v>
      </c>
      <c r="I21" s="16" t="str">
        <f ca="1">IF(H21,LOOKUP(LOOKUP(Rechnungen!$A21,'Challenge Liste'!$A$3:$A$27,'Challenge Liste'!$B$3:$B$27),'Skill Liste'!$B$2:$B$29,'Skill Liste'!$J$2:$J$28),"")</f>
        <v/>
      </c>
      <c r="J21" s="16" t="str">
        <f ca="1">IF(H21,LOOKUP(LOOKUP(Rechnungen!$A21,'Challenge Liste'!$A$3:$A$27,'Challenge Liste'!$F$3:$F$27),'Skill Liste'!$B$2:$B$29,'Skill Liste'!$J$2:$J$28),"")</f>
        <v/>
      </c>
      <c r="K21" s="16">
        <f>HLOOKUP(Rechnungen!$F21,'Skill Liste'!$C$1:$H$29,LOOKUP($B21,'Skill Liste'!$B$2:$B$29,'Skill Liste'!$A$2:$A$29),FALSE)</f>
        <v>0</v>
      </c>
      <c r="L21" s="16">
        <f ca="1">HLOOKUP(Rechnungen!$G21,'Skill Liste'!$C$1:$H$29,LOOKUP($D21,'Skill Liste'!$B$2:$B$29,'Skill Liste'!$A$2:$A$29),FALSE)</f>
        <v>0</v>
      </c>
      <c r="M21">
        <f ca="1">IF(H21,HLOOKUP(Rechnungen!$I21,'Skill Liste'!$C$1:$H$29,LOOKUP($B21,'Skill Liste'!$B$2:$B$29,'Skill Liste'!$A$2:$A$29),FALSE),"")</f>
        <v>0</v>
      </c>
      <c r="N21">
        <f ca="1">IF(H21,HLOOKUP(Rechnungen!$J21,'Skill Liste'!$C$1:$H$29,LOOKUP($D21,'Skill Liste'!$B$2:$B$29,'Skill Liste'!$A$2:$A$29),FALSE),"")</f>
        <v>0</v>
      </c>
      <c r="O21" s="20">
        <f>IF(IF(K21&gt;C21-1,1,(20-C21+Rechnungen!K21+1)/20)&lt;0,0,IF(K21&gt;C21-1,1,(20-C21+Rechnungen!K21+1)/20))</f>
        <v>0</v>
      </c>
      <c r="P21" s="20">
        <f ca="1">IF(IF(L21&gt;E21-1,1,(20-E21+Rechnungen!L21+1)/20)&lt;0,0,IF(L21&gt;E21-1,1,(20-E21+Rechnungen!L21+1)/20))</f>
        <v>0</v>
      </c>
      <c r="Q21" s="20">
        <f ca="1">IF(H21,IF(IF(M21&gt;C21-1,1,(20-C21+Rechnungen!M21+1)/20)&lt;0,0,IF(M21&gt;C21-1,1,(20-C21+Rechnungen!M21+1)/20)),"")</f>
        <v>0</v>
      </c>
      <c r="R21" s="20">
        <f ca="1">IF(H21,IF(IF(N21&gt;E21-1,1,(20-E21+Rechnungen!N21+1)/20)&lt;0,0,IF(N21&gt;E21-1,1,(20-E21+Rechnungen!N21+1)/20)),"")</f>
        <v>0</v>
      </c>
      <c r="S21" s="20">
        <f>IF(OR(K21&gt;=C21-1,K21&lt;=C21-24),0,IF(K21&lt;(C21-5),4/20,(C21-Rechnungen!K21-1)/20))</f>
        <v>0</v>
      </c>
      <c r="T21" s="20">
        <f ca="1">IF(OR(L21&gt;=E21-1,L21&lt;=E21-24),0,IF(L21&lt;(E21-5),4/20,(E21-Rechnungen!L21-1)/20))</f>
        <v>0</v>
      </c>
      <c r="U21" s="20">
        <f t="shared" ca="1" si="3"/>
        <v>0</v>
      </c>
      <c r="V21" s="20">
        <f t="shared" ca="1" si="4"/>
        <v>0</v>
      </c>
      <c r="W21" s="20">
        <f t="shared" si="5"/>
        <v>1</v>
      </c>
      <c r="X21" s="20">
        <f t="shared" ca="1" si="6"/>
        <v>1</v>
      </c>
      <c r="Y21" s="20">
        <f t="shared" ca="1" si="7"/>
        <v>1</v>
      </c>
      <c r="Z21" s="20">
        <f t="shared" ca="1" si="8"/>
        <v>1</v>
      </c>
      <c r="AA21" t="str">
        <f ca="1">IF(OR(O21&lt;bestlist!$B$28,P21&lt;bestlist!$B$28),IF(O21&gt;P21,"best1","best2"),IF(H21,IF(AND(Q21=0,R21=0),IF(O21&gt;P21,"best1","best2"),IF(O21*R21&gt;=P21*Q21,"best1+alt2","alt1+best2")), "best+best"))</f>
        <v>best2</v>
      </c>
      <c r="AB21" s="21">
        <f t="shared" ca="1" si="10"/>
        <v>0</v>
      </c>
      <c r="AC21" s="21">
        <f t="shared" ca="1" si="11"/>
        <v>0</v>
      </c>
      <c r="AD21" s="22">
        <f t="shared" ca="1" si="12"/>
        <v>1</v>
      </c>
      <c r="AE21" s="22">
        <f t="shared" ca="1" si="9"/>
        <v>0</v>
      </c>
      <c r="AF21" s="26"/>
    </row>
    <row r="22" spans="1:32" x14ac:dyDescent="0.25">
      <c r="A22" s="32" t="s">
        <v>102</v>
      </c>
      <c r="B22" s="16" t="str">
        <f>LOOKUP(Rechnungen!$A22,'Challenge Liste'!$A$3:$A$27,'Challenge Liste'!$B$3:$B$27)</f>
        <v>Linguistic</v>
      </c>
      <c r="C22" s="16">
        <f>LOOKUP(A22,'Challenge Liste'!A22:A46,'Challenge Liste'!E22:E46)</f>
        <v>20</v>
      </c>
      <c r="D22" s="16" t="str">
        <f>LOOKUP(Rechnungen!$A22,'Challenge Liste'!$A$3:$A$27,'Challenge Liste'!$F$3:$F$27)</f>
        <v>Perc</v>
      </c>
      <c r="E22" s="16">
        <f>LOOKUP(A22,'Challenge Liste'!A22:A46,'Challenge Liste'!I22:I46)</f>
        <v>30</v>
      </c>
      <c r="F22" s="16" t="str">
        <f>LOOKUP(B22,'Skill Liste'!$B$2:$B$29,'Skill Liste'!$I$2:$I$29)</f>
        <v/>
      </c>
      <c r="G22" s="16" t="str">
        <f ca="1">LOOKUP(D22,'Skill Liste'!$B$2:$B$29,'Skill Liste'!$I$2:$I$28)</f>
        <v/>
      </c>
      <c r="H22" s="16" t="b">
        <f t="shared" ca="1" si="2"/>
        <v>1</v>
      </c>
      <c r="I22" s="16" t="str">
        <f ca="1">IF(H22,LOOKUP(LOOKUP(Rechnungen!$A22,'Challenge Liste'!$A$3:$A$27,'Challenge Liste'!$B$3:$B$27),'Skill Liste'!$B$2:$B$29,'Skill Liste'!$J$2:$J$28),"")</f>
        <v/>
      </c>
      <c r="J22" s="16" t="str">
        <f ca="1">IF(H22,LOOKUP(LOOKUP(Rechnungen!$A22,'Challenge Liste'!$A$3:$A$27,'Challenge Liste'!$F$3:$F$27),'Skill Liste'!$B$2:$B$29,'Skill Liste'!$J$2:$J$28),"")</f>
        <v/>
      </c>
      <c r="K22" s="16">
        <f>HLOOKUP(Rechnungen!$F22,'Skill Liste'!$C$1:$H$29,LOOKUP($B22,'Skill Liste'!$B$2:$B$29,'Skill Liste'!$A$2:$A$29),FALSE)</f>
        <v>0</v>
      </c>
      <c r="L22" s="16">
        <f ca="1">HLOOKUP(Rechnungen!$G22,'Skill Liste'!$C$1:$H$29,LOOKUP($D22,'Skill Liste'!$B$2:$B$29,'Skill Liste'!$A$2:$A$29),FALSE)</f>
        <v>0</v>
      </c>
      <c r="M22">
        <f ca="1">IF(H22,HLOOKUP(Rechnungen!$I22,'Skill Liste'!$C$1:$H$29,LOOKUP($B22,'Skill Liste'!$B$2:$B$29,'Skill Liste'!$A$2:$A$29),FALSE),"")</f>
        <v>0</v>
      </c>
      <c r="N22">
        <f ca="1">IF(H22,HLOOKUP(Rechnungen!$J22,'Skill Liste'!$C$1:$H$29,LOOKUP($D22,'Skill Liste'!$B$2:$B$29,'Skill Liste'!$A$2:$A$29),FALSE),"")</f>
        <v>0</v>
      </c>
      <c r="O22" s="20">
        <f>IF(IF(K22&gt;C22-1,1,(20-C22+Rechnungen!K22+1)/20)&lt;0,0,IF(K22&gt;C22-1,1,(20-C22+Rechnungen!K22+1)/20))</f>
        <v>0.05</v>
      </c>
      <c r="P22" s="20">
        <f ca="1">IF(IF(L22&gt;E22-1,1,(20-E22+Rechnungen!L22+1)/20)&lt;0,0,IF(L22&gt;E22-1,1,(20-E22+Rechnungen!L22+1)/20))</f>
        <v>0</v>
      </c>
      <c r="Q22" s="20">
        <f ca="1">IF(H22,IF(IF(M22&gt;C22-1,1,(20-C22+Rechnungen!M22+1)/20)&lt;0,0,IF(M22&gt;C22-1,1,(20-C22+Rechnungen!M22+1)/20)),"")</f>
        <v>0.05</v>
      </c>
      <c r="R22" s="20">
        <f ca="1">IF(H22,IF(IF(N22&gt;E22-1,1,(20-E22+Rechnungen!N22+1)/20)&lt;0,0,IF(N22&gt;E22-1,1,(20-E22+Rechnungen!N22+1)/20)),"")</f>
        <v>0</v>
      </c>
      <c r="S22" s="20">
        <f>IF(OR(K22&gt;=C22-1,K22&lt;=C22-24),0,IF(K22&lt;(C22-5),4/20,(C22-Rechnungen!K22-1)/20))</f>
        <v>0.2</v>
      </c>
      <c r="T22" s="20">
        <f ca="1">IF(OR(L22&gt;=E22-1,L22&lt;=E22-24),0,IF(L22&lt;(E22-5),4/20,(E22-Rechnungen!L22-1)/20))</f>
        <v>0</v>
      </c>
      <c r="U22" s="20">
        <f t="shared" ca="1" si="3"/>
        <v>0.2</v>
      </c>
      <c r="V22" s="20">
        <f t="shared" ca="1" si="4"/>
        <v>0</v>
      </c>
      <c r="W22" s="20">
        <f t="shared" si="5"/>
        <v>0.75</v>
      </c>
      <c r="X22" s="20">
        <f t="shared" ca="1" si="6"/>
        <v>1</v>
      </c>
      <c r="Y22" s="20">
        <f t="shared" ca="1" si="7"/>
        <v>0.75</v>
      </c>
      <c r="Z22" s="20">
        <f t="shared" ca="1" si="8"/>
        <v>1</v>
      </c>
      <c r="AA22" t="str">
        <f ca="1">IF(OR(O22&lt;bestlist!$B$28,P22&lt;bestlist!$B$28),IF(O22&gt;P22,"best1","best2"),IF(H22,IF(AND(Q22=0,R22=0),IF(O22&gt;P22,"best1","best2"),IF(O22*R22&gt;=P22*Q22,"best1+alt2","alt1+best2")), "best+best"))</f>
        <v>best1</v>
      </c>
      <c r="AB22" s="21">
        <f t="shared" ca="1" si="10"/>
        <v>0</v>
      </c>
      <c r="AC22" s="21">
        <f t="shared" ca="1" si="11"/>
        <v>0.05</v>
      </c>
      <c r="AD22" s="22">
        <f t="shared" ca="1" si="12"/>
        <v>0.95</v>
      </c>
      <c r="AE22" s="22">
        <f t="shared" ca="1" si="9"/>
        <v>0</v>
      </c>
      <c r="AF22" s="26"/>
    </row>
    <row r="23" spans="1:32" x14ac:dyDescent="0.25">
      <c r="A23" s="32" t="s">
        <v>103</v>
      </c>
      <c r="B23" s="16" t="str">
        <f>LOOKUP(Rechnungen!$A23,'Challenge Liste'!$A$3:$A$27,'Challenge Liste'!$B$3:$B$27)</f>
        <v>Craft (Alch)</v>
      </c>
      <c r="C23" s="16">
        <f>LOOKUP(A23,'Challenge Liste'!A23:A47,'Challenge Liste'!E23:E47)</f>
        <v>30</v>
      </c>
      <c r="D23" s="16" t="str">
        <f>LOOKUP(Rechnungen!$A23,'Challenge Liste'!$A$3:$A$27,'Challenge Liste'!$F$3:$F$27)</f>
        <v>Survival</v>
      </c>
      <c r="E23" s="16">
        <f>LOOKUP(A23,'Challenge Liste'!A23:A47,'Challenge Liste'!I23:I47)</f>
        <v>25</v>
      </c>
      <c r="F23" s="16" t="str">
        <f>LOOKUP(B23,'Skill Liste'!$B$2:$B$29,'Skill Liste'!$I$2:$I$29)</f>
        <v/>
      </c>
      <c r="G23" s="16" t="str">
        <f ca="1">LOOKUP(D23,'Skill Liste'!$B$2:$B$29,'Skill Liste'!$I$2:$I$28)</f>
        <v/>
      </c>
      <c r="H23" s="16" t="b">
        <f t="shared" ca="1" si="2"/>
        <v>1</v>
      </c>
      <c r="I23" s="16" t="str">
        <f ca="1">IF(H23,LOOKUP(LOOKUP(Rechnungen!$A23,'Challenge Liste'!$A$3:$A$27,'Challenge Liste'!$B$3:$B$27),'Skill Liste'!$B$2:$B$29,'Skill Liste'!$J$2:$J$28),"")</f>
        <v/>
      </c>
      <c r="J23" s="16" t="str">
        <f ca="1">IF(H23,LOOKUP(LOOKUP(Rechnungen!$A23,'Challenge Liste'!$A$3:$A$27,'Challenge Liste'!$F$3:$F$27),'Skill Liste'!$B$2:$B$29,'Skill Liste'!$J$2:$J$28),"")</f>
        <v/>
      </c>
      <c r="K23" s="16">
        <f>HLOOKUP(Rechnungen!$F23,'Skill Liste'!$C$1:$H$29,LOOKUP($B23,'Skill Liste'!$B$2:$B$29,'Skill Liste'!$A$2:$A$29),FALSE)</f>
        <v>0</v>
      </c>
      <c r="L23" s="16">
        <f ca="1">HLOOKUP(Rechnungen!$G23,'Skill Liste'!$C$1:$H$29,LOOKUP($D23,'Skill Liste'!$B$2:$B$29,'Skill Liste'!$A$2:$A$29),FALSE)</f>
        <v>0</v>
      </c>
      <c r="M23">
        <f ca="1">IF(H23,HLOOKUP(Rechnungen!$I23,'Skill Liste'!$C$1:$H$29,LOOKUP($B23,'Skill Liste'!$B$2:$B$29,'Skill Liste'!$A$2:$A$29),FALSE),"")</f>
        <v>0</v>
      </c>
      <c r="N23">
        <f ca="1">IF(H23,HLOOKUP(Rechnungen!$J23,'Skill Liste'!$C$1:$H$29,LOOKUP($D23,'Skill Liste'!$B$2:$B$29,'Skill Liste'!$A$2:$A$29),FALSE),"")</f>
        <v>0</v>
      </c>
      <c r="O23" s="20">
        <f>IF(IF(K23&gt;C23-1,1,(20-C23+Rechnungen!K23+1)/20)&lt;0,0,IF(K23&gt;C23-1,1,(20-C23+Rechnungen!K23+1)/20))</f>
        <v>0</v>
      </c>
      <c r="P23" s="20">
        <f ca="1">IF(IF(L23&gt;E23-1,1,(20-E23+Rechnungen!L23+1)/20)&lt;0,0,IF(L23&gt;E23-1,1,(20-E23+Rechnungen!L23+1)/20))</f>
        <v>0</v>
      </c>
      <c r="Q23" s="20">
        <f ca="1">IF(H23,IF(IF(M23&gt;C23-1,1,(20-C23+Rechnungen!M23+1)/20)&lt;0,0,IF(M23&gt;C23-1,1,(20-C23+Rechnungen!M23+1)/20)),"")</f>
        <v>0</v>
      </c>
      <c r="R23" s="20">
        <f ca="1">IF(H23,IF(IF(N23&gt;E23-1,1,(20-E23+Rechnungen!N23+1)/20)&lt;0,0,IF(N23&gt;E23-1,1,(20-E23+Rechnungen!N23+1)/20)),"")</f>
        <v>0</v>
      </c>
      <c r="S23" s="20">
        <f>IF(OR(K23&gt;=C23-1,K23&lt;=C23-24),0,IF(K23&lt;(C23-5),4/20,(C23-Rechnungen!K23-1)/20))</f>
        <v>0</v>
      </c>
      <c r="T23" s="20">
        <f ca="1">IF(OR(L23&gt;=E23-1,L23&lt;=E23-24),0,IF(L23&lt;(E23-5),4/20,(E23-Rechnungen!L23-1)/20))</f>
        <v>0</v>
      </c>
      <c r="U23" s="20">
        <f t="shared" ca="1" si="3"/>
        <v>0</v>
      </c>
      <c r="V23" s="20">
        <f t="shared" ca="1" si="4"/>
        <v>0</v>
      </c>
      <c r="W23" s="20">
        <f t="shared" si="5"/>
        <v>1</v>
      </c>
      <c r="X23" s="20">
        <f t="shared" ca="1" si="6"/>
        <v>1</v>
      </c>
      <c r="Y23" s="20">
        <f t="shared" ca="1" si="7"/>
        <v>1</v>
      </c>
      <c r="Z23" s="20">
        <f t="shared" ca="1" si="8"/>
        <v>1</v>
      </c>
      <c r="AA23" t="str">
        <f ca="1">IF(OR(O23&lt;bestlist!$B$28,P23&lt;bestlist!$B$28),IF(O23&gt;P23,"best1","best2"),IF(H23,IF(AND(Q23=0,R23=0),IF(O23&gt;P23,"best1","best2"),IF(O23*R23&gt;=P23*Q23,"best1+alt2","alt1+best2")), "best+best"))</f>
        <v>best2</v>
      </c>
      <c r="AB23" s="21">
        <f t="shared" ca="1" si="10"/>
        <v>0</v>
      </c>
      <c r="AC23" s="21">
        <f t="shared" ca="1" si="11"/>
        <v>0</v>
      </c>
      <c r="AD23" s="22">
        <f t="shared" ca="1" si="12"/>
        <v>1</v>
      </c>
      <c r="AE23" s="22">
        <f t="shared" ca="1" si="9"/>
        <v>0</v>
      </c>
      <c r="AF23" s="26"/>
    </row>
    <row r="24" spans="1:32" x14ac:dyDescent="0.25">
      <c r="A24" s="32" t="s">
        <v>104</v>
      </c>
      <c r="B24" s="16" t="str">
        <f>LOOKUP(Rechnungen!$A24,'Challenge Liste'!$A$3:$A$27,'Challenge Liste'!$B$3:$B$27)</f>
        <v>Knw(Nob)</v>
      </c>
      <c r="C24" s="16">
        <f>LOOKUP(A24,'Challenge Liste'!A24:A48,'Challenge Liste'!E24:E48)</f>
        <v>25</v>
      </c>
      <c r="D24" s="16" t="str">
        <f>LOOKUP(Rechnungen!$A24,'Challenge Liste'!$A$3:$A$27,'Challenge Liste'!$F$3:$F$27)</f>
        <v>UMD</v>
      </c>
      <c r="E24" s="16">
        <f>LOOKUP(A24,'Challenge Liste'!A24:A48,'Challenge Liste'!I24:I48)</f>
        <v>32</v>
      </c>
      <c r="F24" s="16" t="str">
        <f>LOOKUP(B24,'Skill Liste'!$B$2:$B$29,'Skill Liste'!$I$2:$I$29)</f>
        <v/>
      </c>
      <c r="G24" s="16" t="str">
        <f ca="1">LOOKUP(D24,'Skill Liste'!$B$2:$B$29,'Skill Liste'!$I$2:$I$28)</f>
        <v/>
      </c>
      <c r="H24" s="16" t="b">
        <f t="shared" ca="1" si="2"/>
        <v>1</v>
      </c>
      <c r="I24" s="16" t="str">
        <f ca="1">IF(H24,LOOKUP(LOOKUP(Rechnungen!$A24,'Challenge Liste'!$A$3:$A$27,'Challenge Liste'!$B$3:$B$27),'Skill Liste'!$B$2:$B$29,'Skill Liste'!$J$2:$J$28),"")</f>
        <v/>
      </c>
      <c r="J24" s="16" t="str">
        <f ca="1">IF(H24,LOOKUP(LOOKUP(Rechnungen!$A24,'Challenge Liste'!$A$3:$A$27,'Challenge Liste'!$F$3:$F$27),'Skill Liste'!$B$2:$B$29,'Skill Liste'!$J$2:$J$28),"")</f>
        <v/>
      </c>
      <c r="K24" s="16">
        <f>HLOOKUP(Rechnungen!$F24,'Skill Liste'!$C$1:$H$29,LOOKUP($B24,'Skill Liste'!$B$2:$B$29,'Skill Liste'!$A$2:$A$29),FALSE)</f>
        <v>0</v>
      </c>
      <c r="L24" s="16">
        <f ca="1">HLOOKUP(Rechnungen!$G24,'Skill Liste'!$C$1:$H$29,LOOKUP($D24,'Skill Liste'!$B$2:$B$29,'Skill Liste'!$A$2:$A$29),FALSE)</f>
        <v>0</v>
      </c>
      <c r="M24">
        <f ca="1">IF(H24,HLOOKUP(Rechnungen!$I24,'Skill Liste'!$C$1:$H$29,LOOKUP($B24,'Skill Liste'!$B$2:$B$29,'Skill Liste'!$A$2:$A$29),FALSE),"")</f>
        <v>0</v>
      </c>
      <c r="N24">
        <f ca="1">IF(H24,HLOOKUP(Rechnungen!$J24,'Skill Liste'!$C$1:$H$29,LOOKUP($D24,'Skill Liste'!$B$2:$B$29,'Skill Liste'!$A$2:$A$29),FALSE),"")</f>
        <v>0</v>
      </c>
      <c r="O24" s="20">
        <f>IF(IF(K24&gt;C24-1,1,(20-C24+Rechnungen!K24+1)/20)&lt;0,0,IF(K24&gt;C24-1,1,(20-C24+Rechnungen!K24+1)/20))</f>
        <v>0</v>
      </c>
      <c r="P24" s="20">
        <f ca="1">IF(IF(L24&gt;E24-1,1,(20-E24+Rechnungen!L24+1)/20)&lt;0,0,IF(L24&gt;E24-1,1,(20-E24+Rechnungen!L24+1)/20))</f>
        <v>0</v>
      </c>
      <c r="Q24" s="20">
        <f ca="1">IF(H24,IF(IF(M24&gt;C24-1,1,(20-C24+Rechnungen!M24+1)/20)&lt;0,0,IF(M24&gt;C24-1,1,(20-C24+Rechnungen!M24+1)/20)),"")</f>
        <v>0</v>
      </c>
      <c r="R24" s="20">
        <f ca="1">IF(H24,IF(IF(N24&gt;E24-1,1,(20-E24+Rechnungen!N24+1)/20)&lt;0,0,IF(N24&gt;E24-1,1,(20-E24+Rechnungen!N24+1)/20)),"")</f>
        <v>0</v>
      </c>
      <c r="S24" s="20">
        <f>IF(OR(K24&gt;=C24-1,K24&lt;=C24-24),0,IF(K24&lt;(C24-5),4/20,(C24-Rechnungen!K24-1)/20))</f>
        <v>0</v>
      </c>
      <c r="T24" s="20">
        <f ca="1">IF(OR(L24&gt;=E24-1,L24&lt;=E24-24),0,IF(L24&lt;(E24-5),4/20,(E24-Rechnungen!L24-1)/20))</f>
        <v>0</v>
      </c>
      <c r="U24" s="20">
        <f t="shared" ca="1" si="3"/>
        <v>0</v>
      </c>
      <c r="V24" s="20">
        <f t="shared" ca="1" si="4"/>
        <v>0</v>
      </c>
      <c r="W24" s="20">
        <f t="shared" si="5"/>
        <v>1</v>
      </c>
      <c r="X24" s="20">
        <f t="shared" ca="1" si="6"/>
        <v>1</v>
      </c>
      <c r="Y24" s="20">
        <f t="shared" ca="1" si="7"/>
        <v>1</v>
      </c>
      <c r="Z24" s="20">
        <f t="shared" ca="1" si="8"/>
        <v>1</v>
      </c>
      <c r="AA24" t="str">
        <f ca="1">IF(OR(O24&lt;bestlist!$B$28,P24&lt;bestlist!$B$28),IF(O24&gt;P24,"best1","best2"),IF(H24,IF(AND(Q24=0,R24=0),IF(O24&gt;P24,"best1","best2"),IF(O24*R24&gt;=P24*Q24,"best1+alt2","alt1+best2")), "best+best"))</f>
        <v>best2</v>
      </c>
      <c r="AB24" s="21">
        <f t="shared" ca="1" si="10"/>
        <v>0</v>
      </c>
      <c r="AC24" s="21">
        <f t="shared" ca="1" si="11"/>
        <v>0</v>
      </c>
      <c r="AD24" s="22">
        <f t="shared" ca="1" si="12"/>
        <v>1</v>
      </c>
      <c r="AE24" s="22">
        <f t="shared" ca="1" si="9"/>
        <v>0</v>
      </c>
      <c r="AF24" s="26"/>
    </row>
    <row r="25" spans="1:32" x14ac:dyDescent="0.25">
      <c r="A25" s="32" t="s">
        <v>105</v>
      </c>
      <c r="B25" s="16" t="str">
        <f>LOOKUP(Rechnungen!$A25,'Challenge Liste'!$A$3:$A$27,'Challenge Liste'!$B$3:$B$27)</f>
        <v>Linguistic</v>
      </c>
      <c r="C25" s="16">
        <f>LOOKUP(A25,'Challenge Liste'!A25:A49,'Challenge Liste'!E25:E49)</f>
        <v>27</v>
      </c>
      <c r="D25" s="16" t="str">
        <f>LOOKUP(Rechnungen!$A25,'Challenge Liste'!$A$3:$A$27,'Challenge Liste'!$F$3:$F$27)</f>
        <v>UMD</v>
      </c>
      <c r="E25" s="16">
        <f>LOOKUP(A25,'Challenge Liste'!A25:A49,'Challenge Liste'!I25:I49)</f>
        <v>32</v>
      </c>
      <c r="F25" s="16" t="str">
        <f>LOOKUP(B25,'Skill Liste'!$B$2:$B$29,'Skill Liste'!$I$2:$I$29)</f>
        <v/>
      </c>
      <c r="G25" s="16" t="str">
        <f ca="1">LOOKUP(D25,'Skill Liste'!$B$2:$B$29,'Skill Liste'!$I$2:$I$28)</f>
        <v/>
      </c>
      <c r="H25" s="16" t="b">
        <f t="shared" ca="1" si="2"/>
        <v>1</v>
      </c>
      <c r="I25" s="16" t="str">
        <f ca="1">IF(H25,LOOKUP(LOOKUP(Rechnungen!$A25,'Challenge Liste'!$A$3:$A$27,'Challenge Liste'!$B$3:$B$27),'Skill Liste'!$B$2:$B$29,'Skill Liste'!$J$2:$J$28),"")</f>
        <v/>
      </c>
      <c r="J25" s="16" t="str">
        <f ca="1">IF(H25,LOOKUP(LOOKUP(Rechnungen!$A25,'Challenge Liste'!$A$3:$A$27,'Challenge Liste'!$F$3:$F$27),'Skill Liste'!$B$2:$B$29,'Skill Liste'!$J$2:$J$28),"")</f>
        <v/>
      </c>
      <c r="K25" s="16">
        <f>HLOOKUP(Rechnungen!$F25,'Skill Liste'!$C$1:$H$29,LOOKUP($B25,'Skill Liste'!$B$2:$B$29,'Skill Liste'!$A$2:$A$29),FALSE)</f>
        <v>0</v>
      </c>
      <c r="L25" s="16">
        <f ca="1">HLOOKUP(Rechnungen!$G25,'Skill Liste'!$C$1:$H$29,LOOKUP($D25,'Skill Liste'!$B$2:$B$29,'Skill Liste'!$A$2:$A$29),FALSE)</f>
        <v>0</v>
      </c>
      <c r="M25">
        <f ca="1">IF(H25,HLOOKUP(Rechnungen!$I25,'Skill Liste'!$C$1:$H$29,LOOKUP($B25,'Skill Liste'!$B$2:$B$29,'Skill Liste'!$A$2:$A$29),FALSE),"")</f>
        <v>0</v>
      </c>
      <c r="N25">
        <f ca="1">IF(H25,HLOOKUP(Rechnungen!$J25,'Skill Liste'!$C$1:$H$29,LOOKUP($D25,'Skill Liste'!$B$2:$B$29,'Skill Liste'!$A$2:$A$29),FALSE),"")</f>
        <v>0</v>
      </c>
      <c r="O25" s="20">
        <f>IF(IF(K25&gt;C25-1,1,(20-C25+Rechnungen!K25+1)/20)&lt;0,0,IF(K25&gt;C25-1,1,(20-C25+Rechnungen!K25+1)/20))</f>
        <v>0</v>
      </c>
      <c r="P25" s="20">
        <f ca="1">IF(IF(L25&gt;E25-1,1,(20-E25+Rechnungen!L25+1)/20)&lt;0,0,IF(L25&gt;E25-1,1,(20-E25+Rechnungen!L25+1)/20))</f>
        <v>0</v>
      </c>
      <c r="Q25" s="20">
        <f ca="1">IF(H25,IF(IF(M25&gt;C25-1,1,(20-C25+Rechnungen!M25+1)/20)&lt;0,0,IF(M25&gt;C25-1,1,(20-C25+Rechnungen!M25+1)/20)),"")</f>
        <v>0</v>
      </c>
      <c r="R25" s="20">
        <f ca="1">IF(H25,IF(IF(N25&gt;E25-1,1,(20-E25+Rechnungen!N25+1)/20)&lt;0,0,IF(N25&gt;E25-1,1,(20-E25+Rechnungen!N25+1)/20)),"")</f>
        <v>0</v>
      </c>
      <c r="S25" s="20">
        <f>IF(OR(K25&gt;=C25-1,K25&lt;=C25-24),0,IF(K25&lt;(C25-5),4/20,(C25-Rechnungen!K25-1)/20))</f>
        <v>0</v>
      </c>
      <c r="T25" s="20">
        <f ca="1">IF(OR(L25&gt;=E25-1,L25&lt;=E25-24),0,IF(L25&lt;(E25-5),4/20,(E25-Rechnungen!L25-1)/20))</f>
        <v>0</v>
      </c>
      <c r="U25" s="20">
        <f t="shared" ca="1" si="3"/>
        <v>0</v>
      </c>
      <c r="V25" s="20">
        <f t="shared" ca="1" si="4"/>
        <v>0</v>
      </c>
      <c r="W25" s="20">
        <f t="shared" si="5"/>
        <v>1</v>
      </c>
      <c r="X25" s="20">
        <f t="shared" ca="1" si="6"/>
        <v>1</v>
      </c>
      <c r="Y25" s="20">
        <f t="shared" ca="1" si="7"/>
        <v>1</v>
      </c>
      <c r="Z25" s="20">
        <f t="shared" ca="1" si="8"/>
        <v>1</v>
      </c>
      <c r="AA25" t="str">
        <f ca="1">IF(OR(O25&lt;bestlist!$B$28,P25&lt;bestlist!$B$28),IF(O25&gt;P25,"best1","best2"),IF(H25,IF(AND(Q25=0,R25=0),IF(O25&gt;P25,"best1","best2"),IF(O25*R25&gt;=P25*Q25,"best1+alt2","alt1+best2")), "best+best"))</f>
        <v>best2</v>
      </c>
      <c r="AB25" s="21">
        <f t="shared" ca="1" si="10"/>
        <v>0</v>
      </c>
      <c r="AC25" s="21">
        <f t="shared" ca="1" si="11"/>
        <v>0</v>
      </c>
      <c r="AD25" s="22">
        <f t="shared" ca="1" si="12"/>
        <v>1</v>
      </c>
      <c r="AE25" s="22">
        <f t="shared" ca="1" si="9"/>
        <v>0</v>
      </c>
      <c r="AF25" s="26"/>
    </row>
    <row r="26" spans="1:32" x14ac:dyDescent="0.25">
      <c r="A26" s="32" t="s">
        <v>106</v>
      </c>
      <c r="B26" s="16" t="str">
        <f>LOOKUP(Rechnungen!$A26,'Challenge Liste'!$A$3:$A$27,'Challenge Liste'!$B$3:$B$27)</f>
        <v>Craft (T)</v>
      </c>
      <c r="C26" s="16">
        <f>LOOKUP(A26,'Challenge Liste'!A26:A50,'Challenge Liste'!E26:E50)</f>
        <v>32</v>
      </c>
      <c r="D26" s="16" t="str">
        <f>LOOKUP(Rechnungen!$A26,'Challenge Liste'!$A$3:$A$27,'Challenge Liste'!$F$3:$F$27)</f>
        <v>Disable Dev</v>
      </c>
      <c r="E26" s="16">
        <f>LOOKUP(A26,'Challenge Liste'!A26:A50,'Challenge Liste'!I26:I50)</f>
        <v>30</v>
      </c>
      <c r="F26" s="16" t="str">
        <f>LOOKUP(B26,'Skill Liste'!$B$2:$B$29,'Skill Liste'!$I$2:$I$29)</f>
        <v/>
      </c>
      <c r="G26" s="16" t="str">
        <f ca="1">LOOKUP(D26,'Skill Liste'!$B$2:$B$29,'Skill Liste'!$I$2:$I$28)</f>
        <v/>
      </c>
      <c r="H26" s="16" t="b">
        <f t="shared" ca="1" si="2"/>
        <v>1</v>
      </c>
      <c r="I26" s="16" t="str">
        <f ca="1">IF(H26,LOOKUP(LOOKUP(Rechnungen!$A26,'Challenge Liste'!$A$3:$A$27,'Challenge Liste'!$B$3:$B$27),'Skill Liste'!$B$2:$B$29,'Skill Liste'!$J$2:$J$28),"")</f>
        <v/>
      </c>
      <c r="J26" s="16" t="str">
        <f ca="1">IF(H26,LOOKUP(LOOKUP(Rechnungen!$A26,'Challenge Liste'!$A$3:$A$27,'Challenge Liste'!$F$3:$F$27),'Skill Liste'!$B$2:$B$29,'Skill Liste'!$J$2:$J$28),"")</f>
        <v/>
      </c>
      <c r="K26" s="16">
        <f>HLOOKUP(Rechnungen!$F26,'Skill Liste'!$C$1:$H$29,LOOKUP($B26,'Skill Liste'!$B$2:$B$29,'Skill Liste'!$A$2:$A$29),FALSE)</f>
        <v>0</v>
      </c>
      <c r="L26" s="16">
        <f ca="1">HLOOKUP(Rechnungen!$G26,'Skill Liste'!$C$1:$H$29,LOOKUP($D26,'Skill Liste'!$B$2:$B$29,'Skill Liste'!$A$2:$A$29),FALSE)</f>
        <v>0</v>
      </c>
      <c r="M26">
        <f ca="1">IF(H26,HLOOKUP(Rechnungen!$I26,'Skill Liste'!$C$1:$H$29,LOOKUP($B26,'Skill Liste'!$B$2:$B$29,'Skill Liste'!$A$2:$A$29),FALSE),"")</f>
        <v>0</v>
      </c>
      <c r="N26">
        <f ca="1">IF(H26,HLOOKUP(Rechnungen!$J26,'Skill Liste'!$C$1:$H$29,LOOKUP($D26,'Skill Liste'!$B$2:$B$29,'Skill Liste'!$A$2:$A$29),FALSE),"")</f>
        <v>0</v>
      </c>
      <c r="O26" s="20">
        <f>IF(IF(K26&gt;C26-1,1,(20-C26+Rechnungen!K26+1)/20)&lt;0,0,IF(K26&gt;C26-1,1,(20-C26+Rechnungen!K26+1)/20))</f>
        <v>0</v>
      </c>
      <c r="P26" s="20">
        <f ca="1">IF(IF(L26&gt;E26-1,1,(20-E26+Rechnungen!L26+1)/20)&lt;0,0,IF(L26&gt;E26-1,1,(20-E26+Rechnungen!L26+1)/20))</f>
        <v>0</v>
      </c>
      <c r="Q26" s="20">
        <f ca="1">IF(H26,IF(IF(M26&gt;C26-1,1,(20-C26+Rechnungen!M26+1)/20)&lt;0,0,IF(M26&gt;C26-1,1,(20-C26+Rechnungen!M26+1)/20)),"")</f>
        <v>0</v>
      </c>
      <c r="R26" s="20">
        <f ca="1">IF(H26,IF(IF(N26&gt;E26-1,1,(20-E26+Rechnungen!N26+1)/20)&lt;0,0,IF(N26&gt;E26-1,1,(20-E26+Rechnungen!N26+1)/20)),"")</f>
        <v>0</v>
      </c>
      <c r="S26" s="20">
        <f>IF(OR(K26&gt;=C26-1,K26&lt;=C26-24),0,IF(K26&lt;(C26-5),4/20,(C26-Rechnungen!K26-1)/20))</f>
        <v>0</v>
      </c>
      <c r="T26" s="20">
        <f ca="1">IF(OR(L26&gt;=E26-1,L26&lt;=E26-24),0,IF(L26&lt;(E26-5),4/20,(E26-Rechnungen!L26-1)/20))</f>
        <v>0</v>
      </c>
      <c r="U26" s="20">
        <f t="shared" ca="1" si="3"/>
        <v>0</v>
      </c>
      <c r="V26" s="20">
        <f t="shared" ca="1" si="4"/>
        <v>0</v>
      </c>
      <c r="W26" s="20">
        <f t="shared" si="5"/>
        <v>1</v>
      </c>
      <c r="X26" s="20">
        <f t="shared" ca="1" si="6"/>
        <v>1</v>
      </c>
      <c r="Y26" s="20">
        <f t="shared" ca="1" si="7"/>
        <v>1</v>
      </c>
      <c r="Z26" s="20">
        <f t="shared" ca="1" si="8"/>
        <v>1</v>
      </c>
      <c r="AA26" t="str">
        <f ca="1">IF(OR(O26&lt;bestlist!$B$28,P26&lt;bestlist!$B$28),IF(O26&gt;P26,"best1","best2"),IF(H26,IF(AND(Q26=0,R26=0),IF(O26&gt;P26,"best1","best2"),IF(O26*R26&gt;=P26*Q26,"best1+alt2","alt1+best2")), "best+best"))</f>
        <v>best2</v>
      </c>
      <c r="AB26" s="21">
        <f t="shared" ca="1" si="10"/>
        <v>0</v>
      </c>
      <c r="AC26" s="21">
        <f t="shared" ca="1" si="11"/>
        <v>0</v>
      </c>
      <c r="AD26" s="22">
        <f t="shared" ca="1" si="12"/>
        <v>1</v>
      </c>
      <c r="AE26" s="22">
        <f t="shared" ca="1" si="9"/>
        <v>0</v>
      </c>
      <c r="AF26" s="26"/>
    </row>
    <row r="27" spans="1:32" x14ac:dyDescent="0.25">
      <c r="A27" s="32" t="s">
        <v>107</v>
      </c>
      <c r="B27" s="16" t="str">
        <f>LOOKUP(Rechnungen!$A27,'Challenge Liste'!$A$3:$A$27,'Challenge Liste'!$B$3:$B$27)</f>
        <v>Knw(arc)</v>
      </c>
      <c r="C27" s="16">
        <f>LOOKUP(A27,'Challenge Liste'!A27:A51,'Challenge Liste'!E27:E51)</f>
        <v>32</v>
      </c>
      <c r="D27" s="16" t="str">
        <f>LOOKUP(Rechnungen!$A27,'Challenge Liste'!$A$3:$A$27,'Challenge Liste'!$F$3:$F$27)</f>
        <v>Spellcraft</v>
      </c>
      <c r="E27" s="16">
        <f>LOOKUP(A27,'Challenge Liste'!A27:A51,'Challenge Liste'!I27:I51)</f>
        <v>32</v>
      </c>
      <c r="F27" s="16" t="str">
        <f>LOOKUP(B27,'Skill Liste'!$B$2:$B$29,'Skill Liste'!$I$2:$I$29)</f>
        <v/>
      </c>
      <c r="G27" s="16" t="str">
        <f ca="1">LOOKUP(D27,'Skill Liste'!$B$2:$B$29,'Skill Liste'!$I$2:$I$28)</f>
        <v/>
      </c>
      <c r="H27" s="16" t="b">
        <f t="shared" ca="1" si="2"/>
        <v>1</v>
      </c>
      <c r="I27" s="16" t="str">
        <f ca="1">IF(H27,LOOKUP(LOOKUP(Rechnungen!$A27,'Challenge Liste'!$A$3:$A$27,'Challenge Liste'!$B$3:$B$27),'Skill Liste'!$B$2:$B$29,'Skill Liste'!$J$2:$J$28),"")</f>
        <v/>
      </c>
      <c r="J27" s="16" t="str">
        <f ca="1">IF(H27,LOOKUP(LOOKUP(Rechnungen!$A27,'Challenge Liste'!$A$3:$A$27,'Challenge Liste'!$F$3:$F$27),'Skill Liste'!$B$2:$B$29,'Skill Liste'!$J$2:$J$28),"")</f>
        <v/>
      </c>
      <c r="K27" s="16">
        <f>HLOOKUP(Rechnungen!$F27,'Skill Liste'!$C$1:$H$29,LOOKUP($B27,'Skill Liste'!$B$2:$B$29,'Skill Liste'!$A$2:$A$29),FALSE)</f>
        <v>0</v>
      </c>
      <c r="L27" s="16">
        <f ca="1">HLOOKUP(Rechnungen!$G27,'Skill Liste'!$C$1:$H$29,LOOKUP($D27,'Skill Liste'!$B$2:$B$29,'Skill Liste'!$A$2:$A$29),FALSE)</f>
        <v>0</v>
      </c>
      <c r="M27">
        <f ca="1">IF(H27,HLOOKUP(Rechnungen!$I27,'Skill Liste'!$C$1:$H$29,LOOKUP($B27,'Skill Liste'!$B$2:$B$29,'Skill Liste'!$A$2:$A$29),FALSE),"")</f>
        <v>0</v>
      </c>
      <c r="N27">
        <f ca="1">IF(H27,HLOOKUP(Rechnungen!$J27,'Skill Liste'!$C$1:$H$29,LOOKUP($D27,'Skill Liste'!$B$2:$B$29,'Skill Liste'!$A$2:$A$29),FALSE),"")</f>
        <v>0</v>
      </c>
      <c r="O27" s="20">
        <f>IF(IF(K27&gt;C27-1,1,(20-C27+Rechnungen!K27+1)/20)&lt;0,0,IF(K27&gt;C27-1,1,(20-C27+Rechnungen!K27+1)/20))</f>
        <v>0</v>
      </c>
      <c r="P27" s="20">
        <f ca="1">IF(IF(L27&gt;E27-1,1,(20-E27+Rechnungen!L27+1)/20)&lt;0,0,IF(L27&gt;E27-1,1,(20-E27+Rechnungen!L27+1)/20))</f>
        <v>0</v>
      </c>
      <c r="Q27" s="20">
        <f ca="1">IF(H27,IF(IF(M27&gt;C27-1,1,(20-C27+Rechnungen!M27+1)/20)&lt;0,0,IF(M27&gt;C27-1,1,(20-C27+Rechnungen!M27+1)/20)),"")</f>
        <v>0</v>
      </c>
      <c r="R27" s="20">
        <f ca="1">IF(H27,IF(IF(N27&gt;E27-1,1,(20-E27+Rechnungen!N27+1)/20)&lt;0,0,IF(N27&gt;E27-1,1,(20-E27+Rechnungen!N27+1)/20)),"")</f>
        <v>0</v>
      </c>
      <c r="S27" s="20">
        <f>IF(OR(K27&gt;=C27-1,K27&lt;=C27-24),0,IF(K27&lt;(C27-5),4/20,(C27-Rechnungen!K27-1)/20))</f>
        <v>0</v>
      </c>
      <c r="T27" s="20">
        <f ca="1">IF(OR(L27&gt;=E27-1,L27&lt;=E27-24),0,IF(L27&lt;(E27-5),4/20,(E27-Rechnungen!L27-1)/20))</f>
        <v>0</v>
      </c>
      <c r="U27" s="20">
        <f t="shared" ca="1" si="3"/>
        <v>0</v>
      </c>
      <c r="V27" s="20">
        <f t="shared" ca="1" si="4"/>
        <v>0</v>
      </c>
      <c r="W27" s="20">
        <f t="shared" si="5"/>
        <v>1</v>
      </c>
      <c r="X27" s="20">
        <f t="shared" ca="1" si="6"/>
        <v>1</v>
      </c>
      <c r="Y27" s="20">
        <f t="shared" ca="1" si="7"/>
        <v>1</v>
      </c>
      <c r="Z27" s="20">
        <f t="shared" ca="1" si="8"/>
        <v>1</v>
      </c>
      <c r="AA27" t="str">
        <f ca="1">IF(OR(O27&lt;bestlist!$B$28,P27&lt;bestlist!$B$28),IF(O27&gt;P27,"best1","best2"),IF(H27,IF(AND(Q27=0,R27=0),IF(O27&gt;P27,"best1","best2"),IF(O27*R27&gt;=P27*Q27,"best1+alt2","alt1+best2")), "best+best"))</f>
        <v>best2</v>
      </c>
      <c r="AB27" s="21">
        <f t="shared" ca="1" si="10"/>
        <v>0</v>
      </c>
      <c r="AC27" s="21">
        <f t="shared" ca="1" si="11"/>
        <v>0</v>
      </c>
      <c r="AD27" s="22">
        <f t="shared" ca="1" si="12"/>
        <v>1</v>
      </c>
      <c r="AE27" s="22">
        <f t="shared" ca="1" si="9"/>
        <v>0</v>
      </c>
      <c r="AF27" s="26"/>
    </row>
  </sheetData>
  <sheetProtection sheet="1" objects="1" scenarios="1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S47"/>
  <sheetViews>
    <sheetView workbookViewId="0">
      <selection activeCell="Q22" sqref="Q22"/>
    </sheetView>
  </sheetViews>
  <sheetFormatPr baseColWidth="10" defaultRowHeight="15" x14ac:dyDescent="0.25"/>
  <cols>
    <col min="2" max="2" width="15.140625" customWidth="1"/>
    <col min="3" max="3" width="13.5703125" customWidth="1"/>
    <col min="4" max="4" width="12" customWidth="1"/>
    <col min="7" max="7" width="17.140625" customWidth="1"/>
    <col min="10" max="10" width="12.42578125" customWidth="1"/>
    <col min="14" max="14" width="17.28515625" customWidth="1"/>
    <col min="15" max="15" width="17.5703125" customWidth="1"/>
  </cols>
  <sheetData>
    <row r="1" spans="1:19" x14ac:dyDescent="0.25">
      <c r="D1" t="s">
        <v>124</v>
      </c>
      <c r="E1">
        <f>Front!$B$1</f>
        <v>0</v>
      </c>
      <c r="F1" t="s">
        <v>123</v>
      </c>
      <c r="G1">
        <f>ROUNDDOWN(E1/5000,0)+2</f>
        <v>2</v>
      </c>
      <c r="H1" t="s">
        <v>85</v>
      </c>
      <c r="I1">
        <f>Front!$D$1</f>
        <v>0</v>
      </c>
    </row>
    <row r="2" spans="1:19" x14ac:dyDescent="0.25">
      <c r="B2" t="s">
        <v>250</v>
      </c>
      <c r="C2">
        <f ca="1">MAX(B5:B46)</f>
        <v>2</v>
      </c>
    </row>
    <row r="4" spans="1:19" x14ac:dyDescent="0.25">
      <c r="A4" s="53" t="s">
        <v>122</v>
      </c>
      <c r="B4" s="53" t="s">
        <v>121</v>
      </c>
      <c r="C4" s="53" t="s">
        <v>120</v>
      </c>
      <c r="D4" s="53" t="s">
        <v>0</v>
      </c>
      <c r="E4" s="53" t="s">
        <v>119</v>
      </c>
      <c r="F4" s="53" t="s">
        <v>34</v>
      </c>
      <c r="G4" s="53" t="s">
        <v>36</v>
      </c>
      <c r="H4" s="53" t="s">
        <v>117</v>
      </c>
      <c r="I4" s="53" t="s">
        <v>118</v>
      </c>
      <c r="J4" s="53" t="s">
        <v>35</v>
      </c>
      <c r="K4" s="53" t="s">
        <v>38</v>
      </c>
      <c r="L4" s="53" t="s">
        <v>249</v>
      </c>
      <c r="M4" s="53" t="s">
        <v>116</v>
      </c>
      <c r="N4" s="53" t="s">
        <v>115</v>
      </c>
      <c r="O4" s="53" t="s">
        <v>114</v>
      </c>
      <c r="P4" s="53" t="s">
        <v>113</v>
      </c>
      <c r="Q4" s="53" t="s">
        <v>112</v>
      </c>
      <c r="R4" s="53" t="s">
        <v>111</v>
      </c>
      <c r="S4" s="53" t="s">
        <v>110</v>
      </c>
    </row>
    <row r="5" spans="1:19" x14ac:dyDescent="0.25">
      <c r="A5" s="54">
        <v>1</v>
      </c>
      <c r="B5" s="54">
        <v>1</v>
      </c>
      <c r="C5" s="54"/>
      <c r="D5" s="54" t="s">
        <v>109</v>
      </c>
      <c r="E5" s="54">
        <f ca="1">IF(D5=" "," ",VLOOKUP($D5,Tabelle6[[Challenges]:[Bester für Skill 2]],2))</f>
        <v>0</v>
      </c>
      <c r="F5" s="54" t="str">
        <f>IF(D5=" "," ",VLOOKUP($D5,'Challenge Liste'!$A$3:$F$27,2))</f>
        <v>Craft (T)</v>
      </c>
      <c r="G5" s="54">
        <f>IF(D5=" "," ",VLOOKUP($D5,'Challenge Liste'!$A$3:$I$27,5))</f>
        <v>27</v>
      </c>
      <c r="H5" s="54" t="str">
        <f ca="1">IF(D5=" "," ",IF(E5=0,"-",HLOOKUP(E5,'Skill Liste'!$C$1:$H$29,LOOKUP(F5,'Skill Liste'!$B$2:$B$29,'Skill Liste'!$A$2:$A$29),FALSE)+Data!B63))</f>
        <v>-</v>
      </c>
      <c r="I5" s="54" t="str">
        <f ca="1">IF(D5=" "," ",VLOOKUP($D5,Tabelle6[[Challenges]:[Bester für Skill 2]],3))</f>
        <v/>
      </c>
      <c r="J5" s="54" t="str">
        <f>IF(D5=" "," ",VLOOKUP($D5,'Challenge Liste'!$A$3:$F$27,6))</f>
        <v>Spellcraft</v>
      </c>
      <c r="K5" s="54">
        <f>IF(D5=" "," ",VLOOKUP($D5,'Challenge Liste'!$A$3:$I$27,9))</f>
        <v>27</v>
      </c>
      <c r="L5" s="54">
        <f ca="1">IF(D5=" "," ",IF(I5=0,"-",HLOOKUP(I5,'Skill Liste'!$C$1:$H$29,LOOKUP(J5,'Skill Liste'!$B$2:$B$29,'Skill Liste'!$A$2:$A$29),FALSE)+Data!C63))</f>
        <v>13</v>
      </c>
      <c r="M5" s="54" t="str">
        <f t="shared" ref="M5:M11" ca="1" si="0">IF(D5=" "," ",IF(AND(H5&lt;&gt;"-",L5&lt;&gt;"-"),IF(AND(H5&gt;=G5,L5&gt;=K5),"Critical Success",IF(OR(AND(H5&gt;=G5,L5&gt;K5-5),AND(H5&gt;G5-5,L5&gt;=K5)),"Success",IF(AND(H5&lt;G5,L5&lt;K5),"Critical Failure","Failure"))),IF(H5="-",IF(L5&gt;=K5,"Success","Failure"),IF(H5&gt;=G5,"Success","Failure"))))</f>
        <v>Failure</v>
      </c>
      <c r="N5" s="54" t="str">
        <f ca="1">IF(D5=" "," ",VLOOKUP(D5,Data!$A$32:$AH$56,IF(M5="Critical Success",2,IF(M5="Success",11,IF(M5="Failure",20,29))),))</f>
        <v>You have a flawed vessel. Set the base cost at 100% of the market price, set the item's creation time to 1 day per 500 gp of the item's market price, and add one flaw.</v>
      </c>
      <c r="O5" s="54">
        <f ca="1">IF(D5=" "," ",VLOOKUP(D5,Data!$A$32:$AH$56,IF(M5="Critical Success",3,IF(M5="Success",12,IF(M5="Failure",21,30))),))</f>
        <v>100</v>
      </c>
      <c r="P5" s="54">
        <f ca="1">IF(OR(D5=" ",D5="Complete the item")," ",VLOOKUP(D5,Data!$A$32:$AH$56,IF(M5="Critical Success",4,IF(M5="Success",13,IF(M5="Failure",22,31))),))</f>
        <v>0</v>
      </c>
      <c r="Q5" s="54">
        <v>0</v>
      </c>
      <c r="R5" s="54">
        <v>0</v>
      </c>
      <c r="S5" s="54">
        <v>0</v>
      </c>
    </row>
    <row r="6" spans="1:19" x14ac:dyDescent="0.25">
      <c r="A6" s="54">
        <f t="shared" ref="A6:A15" ca="1" si="1">IF(OR(D5="Complete the item",D5=" ")," ",IF((ROUNDDOWN((P5-A5)/($G$1-ROW(A6)+5),0)+A5)=A5,A5+1,ROUNDDOWN((P5-A5)/($G$1-ROW(A6)+5),0)+A5))</f>
        <v>0</v>
      </c>
      <c r="B6" s="54">
        <f t="shared" ref="B6:B15" si="2">IF(OR(D5=" ",D5="Complete the item")," ",B5+1)</f>
        <v>2</v>
      </c>
      <c r="C6" s="54">
        <f>IF(OR(D5="Complete the item",D5=" ")," ",Data!A63)</f>
        <v>3</v>
      </c>
      <c r="D6" s="54" t="str">
        <f ca="1">IF(P5=" "," ",IF(A6&lt;P5,VLOOKUP(C6,Data!$A$2:$E$24,5),IF(OR(D5=" ",D5="Complete the item")," ","Complete the item")))</f>
        <v>Complete the item</v>
      </c>
      <c r="E6" s="54" t="str">
        <f ca="1">IF(D6=" "," ",VLOOKUP($D6,Tabelle6[[Challenges]:[Bester für Skill 2]],2))</f>
        <v/>
      </c>
      <c r="F6" s="54" t="str">
        <f ca="1">IF(D6=" "," ",VLOOKUP($D6,'Challenge Liste'!$A$3:$F$27,2))</f>
        <v>alle Prereq haben</v>
      </c>
      <c r="G6" s="54">
        <f ca="1">IF(D6=" "," ",VLOOKUP($D6,'Challenge Liste'!$A$3:$I$27,5))</f>
        <v>1</v>
      </c>
      <c r="H6" s="54">
        <f ca="1">IF(D6=" "," ",IF(E6=0,"-",HLOOKUP(E6,'Skill Liste'!$C$1:$H$29,LOOKUP(F6,'Skill Liste'!$B$2:$B$29,'Skill Liste'!$A$2:$A$29),FALSE)+Data!B64))</f>
        <v>6</v>
      </c>
      <c r="I6" s="54">
        <f ca="1">IF(D6=" "," ",VLOOKUP($D6,Tabelle6[[Challenges]:[Bester für Skill 2]],3))</f>
        <v>0</v>
      </c>
      <c r="J6" s="54" t="str">
        <f ca="1">IF(D6=" "," ",VLOOKUP($D6,'Challenge Liste'!$A$3:$F$27,6))</f>
        <v>UMD</v>
      </c>
      <c r="K6" s="54">
        <f ca="1">IF(D6=" "," ",VLOOKUP($D6,'Challenge Liste'!$A$3:$I$27,9))</f>
        <v>27</v>
      </c>
      <c r="L6" s="54" t="str">
        <f ca="1">IF(D6=" "," ",IF(I6=0,"-",HLOOKUP(I6,'Skill Liste'!$C$1:$H$29,LOOKUP(J6,'Skill Liste'!$B$2:$B$29,'Skill Liste'!$A$2:$A$29),FALSE)+Data!C64))</f>
        <v>-</v>
      </c>
      <c r="M6" s="54" t="str">
        <f t="shared" ca="1" si="0"/>
        <v>Success</v>
      </c>
      <c r="N6" s="54" t="str">
        <f ca="1">IF(D6=" "," ",VLOOKUP(D6,Data!$A$32:$AH$56,IF(M6="Critical Success",2,IF(M6="Success",11,IF(M6="Failure",20,29))),))</f>
        <v>You have completed the item.</v>
      </c>
      <c r="O6" s="54">
        <f ca="1">IF(D6=" "," ",VLOOKUP(D6,Data!$A$32:$AH$56,IF(M6="Critical Success",3,IF(M6="Success",12,IF(M6="Failure",21,30))),)+O5)</f>
        <v>100</v>
      </c>
      <c r="P6" s="54" t="str">
        <f ca="1">IF(OR(D6=" ",D6="Complete the item")," ",VLOOKUP(D6,Data!$A$32:$AH$56,IF(M6="Critical Success",4,IF(M6="Success",13,IF(M6="Failure",22,31))),)+P5)</f>
        <v xml:space="preserve"> </v>
      </c>
      <c r="Q6" s="54">
        <f ca="1">IF(OR(D5=" ",D5="Complete the item")," ",IF(VLOOKUP(D6,Data!$A$32:$AH$56,IF(M6="Critical Success",5,IF(M6="Success",14,IF(M6="Failure",23,32))),)="X",Q5+1,IF(VLOOKUP(D6,Data!$A$32:$AH$56,IF(M6="Critical Success",5,IF(M6="Success",14,IF(M6="Failure",23,32))),)="XX",Q5+2,Q5)))</f>
        <v>0</v>
      </c>
      <c r="R6" s="54">
        <f ca="1">IF(OR(D5=" ",D5="Complete the item")," ",IF(VLOOKUP(D6,Data!$A$32:$AH$56,IF(M6="Critical Success",6,IF(M6="Success",15,IF(M6="Failure",24,33))),)="X",R5+1,IF(VLOOKUP(D6,Data!$A$32:$AH$56,IF(M6="Critical Success",6,IF(M6="Success",15,IF(M6="Failure",24,33))),)="XX",R5+2,R5)))</f>
        <v>0</v>
      </c>
      <c r="S6" s="54">
        <f ca="1">IF(OR(D5=" ",D5="Complete the item")," ",IF(VLOOKUP(D6,Data!$A$32:$AH$56,IF(M6="Critical Success",7,IF(M6="Success",16,IF(M6="Failure",25,34))),)="X",S5+1,IF(VLOOKUP(D6,Data!$A$32:$AH$56,IF(M6="Critical Success",7,IF(M6="Success",16,IF(M6="Failure",25,34))),)="XX",S5+2,S5)))</f>
        <v>0</v>
      </c>
    </row>
    <row r="7" spans="1:19" x14ac:dyDescent="0.25">
      <c r="A7" s="54" t="str">
        <f t="shared" ca="1" si="1"/>
        <v xml:space="preserve"> </v>
      </c>
      <c r="B7" s="54" t="str">
        <f t="shared" ca="1" si="2"/>
        <v xml:space="preserve"> </v>
      </c>
      <c r="C7" s="54" t="str">
        <f ca="1">IF(OR(D6="Complete the item",D6=" ")," ",Data!A64)</f>
        <v xml:space="preserve"> </v>
      </c>
      <c r="D7" s="54" t="str">
        <f ca="1">IF(P6=" "," ",IF(A7&lt;P6,VLOOKUP(C7,Data!$A$2:$E$24,5),IF(OR(D6=" ",D6="Complete the item")," ","Complete the item")))</f>
        <v xml:space="preserve"> </v>
      </c>
      <c r="E7" s="54" t="str">
        <f ca="1">IF(D7=" "," ",VLOOKUP($D7,Tabelle6[[Challenges]:[Bester für Skill 2]],2))</f>
        <v xml:space="preserve"> </v>
      </c>
      <c r="F7" s="54" t="str">
        <f ca="1">IF(D7=" "," ",VLOOKUP($D7,'Challenge Liste'!$A$3:$F$27,2))</f>
        <v xml:space="preserve"> </v>
      </c>
      <c r="G7" s="54" t="str">
        <f ca="1">IF(D7=" "," ",VLOOKUP($D7,'Challenge Liste'!$A$3:$I$27,5))</f>
        <v xml:space="preserve"> </v>
      </c>
      <c r="H7" s="54" t="str">
        <f ca="1">IF(D7=" "," ",IF(E7=0,"-",HLOOKUP(E7,'Skill Liste'!$C$1:$H$29,LOOKUP(F7,'Skill Liste'!$B$2:$B$29,'Skill Liste'!$A$2:$A$29),FALSE)+Data!B65))</f>
        <v xml:space="preserve"> </v>
      </c>
      <c r="I7" s="54" t="str">
        <f ca="1">IF(D7=" "," ",VLOOKUP($D7,Tabelle6[[Challenges]:[Bester für Skill 2]],3))</f>
        <v xml:space="preserve"> </v>
      </c>
      <c r="J7" s="54" t="str">
        <f ca="1">IF(D7=" "," ",VLOOKUP($D7,'Challenge Liste'!$A$3:$F$27,6))</f>
        <v xml:space="preserve"> </v>
      </c>
      <c r="K7" s="54" t="str">
        <f ca="1">IF(D7=" "," ",VLOOKUP($D7,'Challenge Liste'!$A$3:$I$27,9))</f>
        <v xml:space="preserve"> </v>
      </c>
      <c r="L7" s="54" t="str">
        <f ca="1">IF(D7=" "," ",IF(I7=0,"-",HLOOKUP(I7,'Skill Liste'!$C$1:$H$29,LOOKUP(J7,'Skill Liste'!$B$2:$B$29,'Skill Liste'!$A$2:$A$29),FALSE)+Data!C65))</f>
        <v xml:space="preserve"> </v>
      </c>
      <c r="M7" s="54" t="str">
        <f t="shared" ca="1" si="0"/>
        <v xml:space="preserve"> </v>
      </c>
      <c r="N7" s="54" t="str">
        <f ca="1">IF(D7=" "," ",VLOOKUP(D7,Data!$A$32:$AH$56,IF(M7="Critical Success",2,IF(M7="Success",11,IF(M7="Failure",20,29))),))</f>
        <v xml:space="preserve"> </v>
      </c>
      <c r="O7" s="54" t="str">
        <f ca="1">IF(D7=" "," ",VLOOKUP(D7,Data!$A$32:$AH$56,IF(M7="Critical Success",3,IF(M7="Success",12,IF(M7="Failure",21,30))),)+O6)</f>
        <v xml:space="preserve"> </v>
      </c>
      <c r="P7" s="54" t="str">
        <f ca="1">IF(OR(D7=" ",D7="Complete the item")," ",VLOOKUP(D7,Data!$A$32:$AH$56,IF(M7="Critical Success",4,IF(M7="Success",13,IF(M7="Failure",22,31))),)+P6)</f>
        <v xml:space="preserve"> </v>
      </c>
      <c r="Q7" s="54" t="str">
        <f ca="1">IF(OR(D6=" ",D6="Complete the item")," ",IF(VLOOKUP(D7,Data!$A$32:$AH$56,IF(M7="Critical Success",5,IF(M7="Success",14,IF(M7="Failure",23,32))),)="X",Q6+1,IF(VLOOKUP(D7,Data!$A$32:$AH$56,IF(M7="Critical Success",5,IF(M7="Success",14,IF(M7="Failure",23,32))),)="XX",Q6+2,Q6)))</f>
        <v xml:space="preserve"> </v>
      </c>
      <c r="R7" s="54" t="str">
        <f ca="1">IF(OR(D6=" ",D6="Complete the item")," ",IF(VLOOKUP(D7,Data!$A$32:$AH$56,IF(M7="Critical Success",6,IF(M7="Success",15,IF(M7="Failure",24,33))),)="X",R6+1,IF(VLOOKUP(D7,Data!$A$32:$AH$56,IF(M7="Critical Success",6,IF(M7="Success",15,IF(M7="Failure",24,33))),)="XX",R6+2,R6)))</f>
        <v xml:space="preserve"> </v>
      </c>
      <c r="S7" s="54" t="str">
        <f ca="1">IF(OR(D6=" ",D6="Complete the item")," ",IF(VLOOKUP(D7,Data!$A$32:$AH$56,IF(M7="Critical Success",7,IF(M7="Success",16,IF(M7="Failure",25,34))),)="X",S6+1,IF(VLOOKUP(D7,Data!$A$32:$AH$56,IF(M7="Critical Success",7,IF(M7="Success",16,IF(M7="Failure",25,34))),)="XX",S6+2,S6)))</f>
        <v xml:space="preserve"> </v>
      </c>
    </row>
    <row r="8" spans="1:19" x14ac:dyDescent="0.25">
      <c r="A8" s="54" t="str">
        <f t="shared" ca="1" si="1"/>
        <v xml:space="preserve"> </v>
      </c>
      <c r="B8" s="54" t="str">
        <f t="shared" ca="1" si="2"/>
        <v xml:space="preserve"> </v>
      </c>
      <c r="C8" s="54" t="str">
        <f ca="1">IF(OR(D7="Complete the item",D7=" ")," ",Data!A65)</f>
        <v xml:space="preserve"> </v>
      </c>
      <c r="D8" s="54" t="str">
        <f ca="1">IF(P7=" "," ",IF(A8&lt;P7,VLOOKUP(C8,Data!$A$2:$E$24,5),IF(OR(D7=" ",D7="Complete the item")," ","Complete the item")))</f>
        <v xml:space="preserve"> </v>
      </c>
      <c r="E8" s="54" t="str">
        <f ca="1">IF(D8=" "," ",VLOOKUP($D8,Tabelle6[[Challenges]:[Bester für Skill 2]],2))</f>
        <v xml:space="preserve"> </v>
      </c>
      <c r="F8" s="54" t="str">
        <f ca="1">IF(D8=" "," ",VLOOKUP($D8,'Challenge Liste'!$A$3:$F$27,2))</f>
        <v xml:space="preserve"> </v>
      </c>
      <c r="G8" s="54" t="str">
        <f ca="1">IF(D8=" "," ",VLOOKUP($D8,'Challenge Liste'!$A$3:$I$27,5))</f>
        <v xml:space="preserve"> </v>
      </c>
      <c r="H8" s="54" t="str">
        <f ca="1">IF(D8=" "," ",IF(E8=0,"-",HLOOKUP(E8,'Skill Liste'!$C$1:$H$29,LOOKUP(F8,'Skill Liste'!$B$2:$B$29,'Skill Liste'!$A$2:$A$29),FALSE)+Data!B66))</f>
        <v xml:space="preserve"> </v>
      </c>
      <c r="I8" s="54" t="str">
        <f ca="1">IF(D8=" "," ",VLOOKUP($D8,Tabelle6[[Challenges]:[Bester für Skill 2]],3))</f>
        <v xml:space="preserve"> </v>
      </c>
      <c r="J8" s="54" t="str">
        <f ca="1">IF(D8=" "," ",VLOOKUP($D8,'Challenge Liste'!$A$3:$F$27,6))</f>
        <v xml:space="preserve"> </v>
      </c>
      <c r="K8" s="54" t="str">
        <f ca="1">IF(D8=" "," ",VLOOKUP($D8,'Challenge Liste'!$A$3:$I$27,9))</f>
        <v xml:space="preserve"> </v>
      </c>
      <c r="L8" s="54" t="str">
        <f ca="1">IF(D8=" "," ",IF(I8=0,"-",HLOOKUP(I8,'Skill Liste'!$C$1:$H$29,LOOKUP(J8,'Skill Liste'!$B$2:$B$29,'Skill Liste'!$A$2:$A$29),FALSE)+Data!C66))</f>
        <v xml:space="preserve"> </v>
      </c>
      <c r="M8" s="54" t="str">
        <f t="shared" ca="1" si="0"/>
        <v xml:space="preserve"> </v>
      </c>
      <c r="N8" s="54" t="str">
        <f ca="1">IF(D8=" "," ",VLOOKUP(D8,Data!$A$32:$AH$56,IF(M8="Critical Success",2,IF(M8="Success",11,IF(M8="Failure",20,29))),))</f>
        <v xml:space="preserve"> </v>
      </c>
      <c r="O8" s="54" t="str">
        <f ca="1">IF(D8=" "," ",VLOOKUP(D8,Data!$A$32:$AH$56,IF(M8="Critical Success",3,IF(M8="Success",12,IF(M8="Failure",21,30))),)+O7)</f>
        <v xml:space="preserve"> </v>
      </c>
      <c r="P8" s="54" t="str">
        <f ca="1">IF(OR(D8=" ",D8="Complete the item")," ",VLOOKUP(D8,Data!$A$32:$AH$56,IF(M8="Critical Success",4,IF(M8="Success",13,IF(M8="Failure",22,31))),)+P7)</f>
        <v xml:space="preserve"> </v>
      </c>
      <c r="Q8" s="54" t="str">
        <f ca="1">IF(OR(D7=" ",D7="Complete the item")," ",IF(VLOOKUP(D8,Data!$A$32:$AH$56,IF(M8="Critical Success",5,IF(M8="Success",14,IF(M8="Failure",23,32))),)="X",Q7+1,IF(VLOOKUP(D8,Data!$A$32:$AH$56,IF(M8="Critical Success",5,IF(M8="Success",14,IF(M8="Failure",23,32))),)="XX",Q7+2,Q7)))</f>
        <v xml:space="preserve"> </v>
      </c>
      <c r="R8" s="54" t="str">
        <f ca="1">IF(OR(D7=" ",D7="Complete the item")," ",IF(VLOOKUP(D8,Data!$A$32:$AH$56,IF(M8="Critical Success",6,IF(M8="Success",15,IF(M8="Failure",24,33))),)="X",R7+1,IF(VLOOKUP(D8,Data!$A$32:$AH$56,IF(M8="Critical Success",6,IF(M8="Success",15,IF(M8="Failure",24,33))),)="XX",R7+2,R7)))</f>
        <v xml:space="preserve"> </v>
      </c>
      <c r="S8" s="54" t="str">
        <f ca="1">IF(OR(D7=" ",D7="Complete the item")," ",IF(VLOOKUP(D8,Data!$A$32:$AH$56,IF(M8="Critical Success",7,IF(M8="Success",16,IF(M8="Failure",25,34))),)="X",S7+1,IF(VLOOKUP(D8,Data!$A$32:$AH$56,IF(M8="Critical Success",7,IF(M8="Success",16,IF(M8="Failure",25,34))),)="XX",S7+2,S7)))</f>
        <v xml:space="preserve"> </v>
      </c>
    </row>
    <row r="9" spans="1:19" x14ac:dyDescent="0.25">
      <c r="A9" s="54" t="str">
        <f t="shared" ca="1" si="1"/>
        <v xml:space="preserve"> </v>
      </c>
      <c r="B9" s="54" t="str">
        <f t="shared" ca="1" si="2"/>
        <v xml:space="preserve"> </v>
      </c>
      <c r="C9" s="54" t="str">
        <f ca="1">IF(OR(D8="Complete the item",D8=" ")," ",Data!A66)</f>
        <v xml:space="preserve"> </v>
      </c>
      <c r="D9" s="54" t="str">
        <f ca="1">IF(P8=" "," ",IF(A9&lt;P8,VLOOKUP(C9,Data!$A$2:$E$24,5),IF(OR(D8=" ",D8="Complete the item")," ","Complete the item")))</f>
        <v xml:space="preserve"> </v>
      </c>
      <c r="E9" s="54" t="str">
        <f ca="1">IF(D9=" "," ",VLOOKUP($D9,Tabelle6[[Challenges]:[Bester für Skill 2]],2))</f>
        <v xml:space="preserve"> </v>
      </c>
      <c r="F9" s="54" t="str">
        <f ca="1">IF(D9=" "," ",VLOOKUP($D9,'Challenge Liste'!$A$3:$F$27,2))</f>
        <v xml:space="preserve"> </v>
      </c>
      <c r="G9" s="54" t="str">
        <f ca="1">IF(D9=" "," ",VLOOKUP($D9,'Challenge Liste'!$A$3:$I$27,5))</f>
        <v xml:space="preserve"> </v>
      </c>
      <c r="H9" s="54" t="str">
        <f ca="1">IF(D9=" "," ",IF(E9=0,"-",HLOOKUP(E9,'Skill Liste'!$C$1:$H$29,LOOKUP(F9,'Skill Liste'!$B$2:$B$29,'Skill Liste'!$A$2:$A$29),FALSE)+Data!B67))</f>
        <v xml:space="preserve"> </v>
      </c>
      <c r="I9" s="54" t="str">
        <f ca="1">IF(D9=" "," ",VLOOKUP($D9,Tabelle6[[Challenges]:[Bester für Skill 2]],3))</f>
        <v xml:space="preserve"> </v>
      </c>
      <c r="J9" s="54" t="str">
        <f ca="1">IF(D9=" "," ",VLOOKUP($D9,'Challenge Liste'!$A$3:$F$27,6))</f>
        <v xml:space="preserve"> </v>
      </c>
      <c r="K9" s="54" t="str">
        <f ca="1">IF(D9=" "," ",VLOOKUP($D9,'Challenge Liste'!$A$3:$I$27,9))</f>
        <v xml:space="preserve"> </v>
      </c>
      <c r="L9" s="54" t="str">
        <f ca="1">IF(D9=" "," ",IF(I9=0,"-",HLOOKUP(I9,'Skill Liste'!$C$1:$H$29,LOOKUP(J9,'Skill Liste'!$B$2:$B$29,'Skill Liste'!$A$2:$A$29),FALSE)+Data!C67))</f>
        <v xml:space="preserve"> </v>
      </c>
      <c r="M9" s="54" t="str">
        <f t="shared" ca="1" si="0"/>
        <v xml:space="preserve"> </v>
      </c>
      <c r="N9" s="54" t="str">
        <f ca="1">IF(D9=" "," ",VLOOKUP(D9,Data!$A$32:$AH$56,IF(M9="Critical Success",2,IF(M9="Success",11,IF(M9="Failure",20,29))),))</f>
        <v xml:space="preserve"> </v>
      </c>
      <c r="O9" s="54" t="str">
        <f ca="1">IF(D9=" "," ",VLOOKUP(D9,Data!$A$32:$AH$56,IF(M9="Critical Success",3,IF(M9="Success",12,IF(M9="Failure",21,30))),)+O8)</f>
        <v xml:space="preserve"> </v>
      </c>
      <c r="P9" s="54" t="str">
        <f ca="1">IF(OR(D9=" ",D9="Complete the item")," ",VLOOKUP(D9,Data!$A$32:$AH$56,IF(M9="Critical Success",4,IF(M9="Success",13,IF(M9="Failure",22,31))),)+P8)</f>
        <v xml:space="preserve"> </v>
      </c>
      <c r="Q9" s="54" t="str">
        <f ca="1">IF(OR(D8=" ",D8="Complete the item")," ",IF(VLOOKUP(D9,Data!$A$32:$AH$56,IF(M9="Critical Success",5,IF(M9="Success",14,IF(M9="Failure",23,32))),)="X",Q8+1,IF(VLOOKUP(D9,Data!$A$32:$AH$56,IF(M9="Critical Success",5,IF(M9="Success",14,IF(M9="Failure",23,32))),)="XX",Q8+2,Q8)))</f>
        <v xml:space="preserve"> </v>
      </c>
      <c r="R9" s="54" t="str">
        <f ca="1">IF(OR(D8=" ",D8="Complete the item")," ",IF(VLOOKUP(D9,Data!$A$32:$AH$56,IF(M9="Critical Success",6,IF(M9="Success",15,IF(M9="Failure",24,33))),)="X",R8+1,IF(VLOOKUP(D9,Data!$A$32:$AH$56,IF(M9="Critical Success",6,IF(M9="Success",15,IF(M9="Failure",24,33))),)="XX",R8+2,R8)))</f>
        <v xml:space="preserve"> </v>
      </c>
      <c r="S9" s="54" t="str">
        <f ca="1">IF(OR(D8=" ",D8="Complete the item")," ",IF(VLOOKUP(D9,Data!$A$32:$AH$56,IF(M9="Critical Success",7,IF(M9="Success",16,IF(M9="Failure",25,34))),)="X",S8+1,IF(VLOOKUP(D9,Data!$A$32:$AH$56,IF(M9="Critical Success",7,IF(M9="Success",16,IF(M9="Failure",25,34))),)="XX",S8+2,S8)))</f>
        <v xml:space="preserve"> </v>
      </c>
    </row>
    <row r="10" spans="1:19" x14ac:dyDescent="0.25">
      <c r="A10" s="54" t="str">
        <f t="shared" ca="1" si="1"/>
        <v xml:space="preserve"> </v>
      </c>
      <c r="B10" s="54" t="str">
        <f t="shared" ca="1" si="2"/>
        <v xml:space="preserve"> </v>
      </c>
      <c r="C10" s="54" t="str">
        <f ca="1">IF(OR(D9="Complete the item",D9=" ")," ",Data!A67)</f>
        <v xml:space="preserve"> </v>
      </c>
      <c r="D10" s="54" t="str">
        <f ca="1">IF(P9=" "," ",IF(A10&lt;P9,VLOOKUP(C10,Data!$A$2:$E$24,5),IF(OR(D9=" ",D9="Complete the item")," ","Complete the item")))</f>
        <v xml:space="preserve"> </v>
      </c>
      <c r="E10" s="54" t="str">
        <f ca="1">IF(D10=" "," ",VLOOKUP($D10,Tabelle6[[Challenges]:[Bester für Skill 2]],2))</f>
        <v xml:space="preserve"> </v>
      </c>
      <c r="F10" s="54" t="str">
        <f ca="1">IF(D10=" "," ",VLOOKUP($D10,'Challenge Liste'!$A$3:$F$27,2))</f>
        <v xml:space="preserve"> </v>
      </c>
      <c r="G10" s="54" t="str">
        <f ca="1">IF(D10=" "," ",VLOOKUP($D10,'Challenge Liste'!$A$3:$I$27,5))</f>
        <v xml:space="preserve"> </v>
      </c>
      <c r="H10" s="54" t="str">
        <f ca="1">IF(D10=" "," ",IF(E10=0,"-",HLOOKUP(E10,'Skill Liste'!$C$1:$H$29,LOOKUP(F10,'Skill Liste'!$B$2:$B$29,'Skill Liste'!$A$2:$A$29),FALSE)+Data!B68))</f>
        <v xml:space="preserve"> </v>
      </c>
      <c r="I10" s="54" t="str">
        <f ca="1">IF(D10=" "," ",VLOOKUP($D10,Tabelle6[[Challenges]:[Bester für Skill 2]],3))</f>
        <v xml:space="preserve"> </v>
      </c>
      <c r="J10" s="54" t="str">
        <f ca="1">IF(D10=" "," ",VLOOKUP($D10,'Challenge Liste'!$A$3:$F$27,6))</f>
        <v xml:space="preserve"> </v>
      </c>
      <c r="K10" s="54" t="str">
        <f ca="1">IF(D10=" "," ",VLOOKUP($D10,'Challenge Liste'!$A$3:$I$27,9))</f>
        <v xml:space="preserve"> </v>
      </c>
      <c r="L10" s="54" t="str">
        <f ca="1">IF(D10=" "," ",IF(I10=0,"-",HLOOKUP(I10,'Skill Liste'!$C$1:$H$29,LOOKUP(J10,'Skill Liste'!$B$2:$B$29,'Skill Liste'!$A$2:$A$29),FALSE)+Data!C68))</f>
        <v xml:space="preserve"> </v>
      </c>
      <c r="M10" s="54" t="str">
        <f t="shared" ca="1" si="0"/>
        <v xml:space="preserve"> </v>
      </c>
      <c r="N10" s="54" t="str">
        <f ca="1">IF(D10=" "," ",VLOOKUP(D10,Data!$A$32:$AH$56,IF(M10="Critical Success",2,IF(M10="Success",11,IF(M10="Failure",20,29))),))</f>
        <v xml:space="preserve"> </v>
      </c>
      <c r="O10" s="54" t="str">
        <f ca="1">IF(D10=" "," ",VLOOKUP(D10,Data!$A$32:$AH$56,IF(M10="Critical Success",3,IF(M10="Success",12,IF(M10="Failure",21,30))),)+O9)</f>
        <v xml:space="preserve"> </v>
      </c>
      <c r="P10" s="54" t="str">
        <f ca="1">IF(OR(D10=" ",D10="Complete the item")," ",VLOOKUP(D10,Data!$A$32:$AH$56,IF(M10="Critical Success",4,IF(M10="Success",13,IF(M10="Failure",22,31))),)+P9)</f>
        <v xml:space="preserve"> </v>
      </c>
      <c r="Q10" s="54" t="str">
        <f ca="1">IF(OR(D9=" ",D9="Complete the item")," ",IF(VLOOKUP(D10,Data!$A$32:$AH$56,IF(M10="Critical Success",5,IF(M10="Success",14,IF(M10="Failure",23,32))),)="X",Q9+1,IF(VLOOKUP(D10,Data!$A$32:$AH$56,IF(M10="Critical Success",5,IF(M10="Success",14,IF(M10="Failure",23,32))),)="XX",Q9+2,Q9)))</f>
        <v xml:space="preserve"> </v>
      </c>
      <c r="R10" s="54" t="str">
        <f ca="1">IF(OR(D9=" ",D9="Complete the item")," ",IF(VLOOKUP(D10,Data!$A$32:$AH$56,IF(M10="Critical Success",6,IF(M10="Success",15,IF(M10="Failure",24,33))),)="X",R9+1,IF(VLOOKUP(D10,Data!$A$32:$AH$56,IF(M10="Critical Success",6,IF(M10="Success",15,IF(M10="Failure",24,33))),)="XX",R9+2,R9)))</f>
        <v xml:space="preserve"> </v>
      </c>
      <c r="S10" s="54" t="str">
        <f ca="1">IF(OR(D9=" ",D9="Complete the item")," ",IF(VLOOKUP(D10,Data!$A$32:$AH$56,IF(M10="Critical Success",7,IF(M10="Success",16,IF(M10="Failure",25,34))),)="X",S9+1,IF(VLOOKUP(D10,Data!$A$32:$AH$56,IF(M10="Critical Success",7,IF(M10="Success",16,IF(M10="Failure",25,34))),)="XX",S9+2,S9)))</f>
        <v xml:space="preserve"> </v>
      </c>
    </row>
    <row r="11" spans="1:19" x14ac:dyDescent="0.25">
      <c r="A11" s="54" t="str">
        <f t="shared" ca="1" si="1"/>
        <v xml:space="preserve"> </v>
      </c>
      <c r="B11" s="54" t="str">
        <f t="shared" ca="1" si="2"/>
        <v xml:space="preserve"> </v>
      </c>
      <c r="C11" s="54" t="str">
        <f ca="1">IF(OR(D10="Complete the item",D10=" ")," ",Data!A68)</f>
        <v xml:space="preserve"> </v>
      </c>
      <c r="D11" s="54" t="str">
        <f ca="1">IF(P10=" "," ",IF(A11&lt;P10,VLOOKUP(C11,Data!$A$2:$E$24,5),IF(OR(D10=" ",D10="Complete the item")," ","Complete the item")))</f>
        <v xml:space="preserve"> </v>
      </c>
      <c r="E11" s="54" t="str">
        <f ca="1">IF(D11=" "," ",VLOOKUP($D11,Tabelle6[[Challenges]:[Bester für Skill 2]],2))</f>
        <v xml:space="preserve"> </v>
      </c>
      <c r="F11" s="54" t="str">
        <f ca="1">IF(D11=" "," ",VLOOKUP($D11,'Challenge Liste'!$A$3:$F$27,2))</f>
        <v xml:space="preserve"> </v>
      </c>
      <c r="G11" s="54" t="str">
        <f ca="1">IF(D11=" "," ",VLOOKUP($D11,'Challenge Liste'!$A$3:$I$27,5))</f>
        <v xml:space="preserve"> </v>
      </c>
      <c r="H11" s="54" t="str">
        <f ca="1">IF(D11=" "," ",IF(E11=0,"-",HLOOKUP(E11,'Skill Liste'!$C$1:$H$29,LOOKUP(F11,'Skill Liste'!$B$2:$B$29,'Skill Liste'!$A$2:$A$29),FALSE)+Data!B69))</f>
        <v xml:space="preserve"> </v>
      </c>
      <c r="I11" s="54" t="str">
        <f ca="1">IF(D11=" "," ",VLOOKUP($D11,Tabelle6[[Challenges]:[Bester für Skill 2]],3))</f>
        <v xml:space="preserve"> </v>
      </c>
      <c r="J11" s="54" t="str">
        <f ca="1">IF(D11=" "," ",VLOOKUP($D11,'Challenge Liste'!$A$3:$F$27,6))</f>
        <v xml:space="preserve"> </v>
      </c>
      <c r="K11" s="54" t="str">
        <f ca="1">IF(D11=" "," ",VLOOKUP($D11,'Challenge Liste'!$A$3:$I$27,9))</f>
        <v xml:space="preserve"> </v>
      </c>
      <c r="L11" s="54" t="str">
        <f ca="1">IF(D11=" "," ",IF(I11=0,"-",HLOOKUP(I11,'Skill Liste'!$C$1:$H$29,LOOKUP(J11,'Skill Liste'!$B$2:$B$29,'Skill Liste'!$A$2:$A$29),FALSE)+Data!C69))</f>
        <v xml:space="preserve"> </v>
      </c>
      <c r="M11" s="54" t="str">
        <f t="shared" ca="1" si="0"/>
        <v xml:space="preserve"> </v>
      </c>
      <c r="N11" s="54" t="str">
        <f ca="1">IF(D11=" "," ",VLOOKUP(D11,Data!$A$32:$AH$56,IF(M11="Critical Success",2,IF(M11="Success",11,IF(M11="Failure",20,29))),))</f>
        <v xml:space="preserve"> </v>
      </c>
      <c r="O11" s="54" t="str">
        <f ca="1">IF(D11=" "," ",VLOOKUP(D11,Data!$A$32:$AH$56,IF(M11="Critical Success",3,IF(M11="Success",12,IF(M11="Failure",21,30))),)+O10)</f>
        <v xml:space="preserve"> </v>
      </c>
      <c r="P11" s="54" t="str">
        <f ca="1">IF(OR(D11=" ",D11="Complete the item")," ",VLOOKUP(D11,Data!$A$32:$AH$56,IF(M11="Critical Success",4,IF(M11="Success",13,IF(M11="Failure",22,31))),)+P10)</f>
        <v xml:space="preserve"> </v>
      </c>
      <c r="Q11" s="54" t="str">
        <f ca="1">IF(OR(D10=" ",D10="Complete the item")," ",IF(VLOOKUP(D11,Data!$A$32:$AH$56,IF(M11="Critical Success",5,IF(M11="Success",14,IF(M11="Failure",23,32))),)="X",Q10+1,IF(VLOOKUP(D11,Data!$A$32:$AH$56,IF(M11="Critical Success",5,IF(M11="Success",14,IF(M11="Failure",23,32))),)="XX",Q10+2,Q10)))</f>
        <v xml:space="preserve"> </v>
      </c>
      <c r="R11" s="54" t="str">
        <f ca="1">IF(OR(D10=" ",D10="Complete the item")," ",IF(VLOOKUP(D11,Data!$A$32:$AH$56,IF(M11="Critical Success",6,IF(M11="Success",15,IF(M11="Failure",24,33))),)="X",R10+1,IF(VLOOKUP(D11,Data!$A$32:$AH$56,IF(M11="Critical Success",6,IF(M11="Success",15,IF(M11="Failure",24,33))),)="XX",R10+2,R10)))</f>
        <v xml:space="preserve"> </v>
      </c>
      <c r="S11" s="54" t="str">
        <f ca="1">IF(OR(D10=" ",D10="Complete the item")," ",IF(VLOOKUP(D11,Data!$A$32:$AH$56,IF(M11="Critical Success",7,IF(M11="Success",16,IF(M11="Failure",25,34))),)="X",S10+1,IF(VLOOKUP(D11,Data!$A$32:$AH$56,IF(M11="Critical Success",7,IF(M11="Success",16,IF(M11="Failure",25,34))),)="XX",S10+2,S10)))</f>
        <v xml:space="preserve"> </v>
      </c>
    </row>
    <row r="12" spans="1:19" x14ac:dyDescent="0.25">
      <c r="A12" s="54" t="str">
        <f t="shared" ca="1" si="1"/>
        <v xml:space="preserve"> </v>
      </c>
      <c r="B12" s="54" t="str">
        <f t="shared" ca="1" si="2"/>
        <v xml:space="preserve"> </v>
      </c>
      <c r="C12" s="54" t="str">
        <f ca="1">IF(OR(D11="Complete the item",D11=" ")," ",Data!A69)</f>
        <v xml:space="preserve"> </v>
      </c>
      <c r="D12" s="54" t="str">
        <f ca="1">IF(P11=" "," ",IF(A12&lt;P11,VLOOKUP(C12,Data!$A$2:$E$24,5),IF(OR(D11=" ",D11="Complete the item")," ","Complete the item")))</f>
        <v xml:space="preserve"> </v>
      </c>
      <c r="E12" s="54" t="str">
        <f ca="1">IF(D12=" "," ",VLOOKUP($D12,Tabelle6[[Challenges]:[Bester für Skill 2]],2))</f>
        <v xml:space="preserve"> </v>
      </c>
      <c r="F12" s="54" t="str">
        <f ca="1">IF(D12=" "," ",VLOOKUP($D12,'Challenge Liste'!$A$3:$F$27,2))</f>
        <v xml:space="preserve"> </v>
      </c>
      <c r="G12" s="54" t="str">
        <f ca="1">IF(D12=" "," ",VLOOKUP($D12,'Challenge Liste'!$A$3:$I$27,5))</f>
        <v xml:space="preserve"> </v>
      </c>
      <c r="H12" s="54" t="str">
        <f ca="1">IF(D12=" "," ",IF(E12=0,"-",HLOOKUP(E12,'Skill Liste'!$C$1:$H$29,LOOKUP(F12,'Skill Liste'!$B$2:$B$29,'Skill Liste'!$A$2:$A$29),FALSE)+Data!B70))</f>
        <v xml:space="preserve"> </v>
      </c>
      <c r="I12" s="54" t="str">
        <f ca="1">IF(D12=" "," ",VLOOKUP($D12,Tabelle6[[Challenges]:[Bester für Skill 2]],3))</f>
        <v xml:space="preserve"> </v>
      </c>
      <c r="J12" s="54" t="str">
        <f ca="1">IF(D12=" "," ",VLOOKUP($D12,'Challenge Liste'!$A$3:$F$27,6))</f>
        <v xml:space="preserve"> </v>
      </c>
      <c r="K12" s="54" t="str">
        <f ca="1">IF(D12=" "," ",VLOOKUP($D12,'Challenge Liste'!$A$3:$I$27,9))</f>
        <v xml:space="preserve"> </v>
      </c>
      <c r="L12" s="54" t="str">
        <f ca="1">IF(D12=" "," ",IF(I12=0,"-",HLOOKUP(I12,'Skill Liste'!$C$1:$H$29,LOOKUP(J12,'Skill Liste'!$B$2:$B$29,'Skill Liste'!$A$2:$A$29),FALSE)+Data!C70))</f>
        <v xml:space="preserve"> </v>
      </c>
      <c r="M12" s="54" t="str">
        <f ca="1">IF(D12=" "," ",IF(AND(H12&lt;&gt;"-",L12&lt;&gt;"-"),IF(AND(H12&gt;=G12,L12&gt;=K12),"Critical Success",IF(OR(AND(H12&gt;=G12,L12&gt;K12-5),AND(H12&gt;G12-5,L12&gt;=K12)),"Success",IF(AND(H12&lt;G12,L12&lt;K12),"Critical Failure","Failure"))),IF(H12="-",IF(L12&gt;=K12,"Success","Failure"),IF(H12&gt;=G12,"Success","Failure"))))</f>
        <v xml:space="preserve"> </v>
      </c>
      <c r="N12" s="54" t="str">
        <f ca="1">IF(D12=" "," ",VLOOKUP(D12,Data!$A$32:$AH$56,IF(M12="Critical Success",2,IF(M12="Success",11,IF(M12="Failure",20,29))),))</f>
        <v xml:space="preserve"> </v>
      </c>
      <c r="O12" s="54" t="str">
        <f ca="1">IF(D12=" "," ",VLOOKUP(D12,Data!$A$32:$AH$56,IF(M12="Critical Success",3,IF(M12="Success",12,IF(M12="Failure",21,30))),)+O11)</f>
        <v xml:space="preserve"> </v>
      </c>
      <c r="P12" s="54" t="str">
        <f ca="1">IF(OR(D12=" ",D12="Complete the item")," ",VLOOKUP(D12,Data!$A$32:$AH$56,IF(M12="Critical Success",4,IF(M12="Success",13,IF(M12="Failure",22,31))),)+P11)</f>
        <v xml:space="preserve"> </v>
      </c>
      <c r="Q12" s="54" t="str">
        <f ca="1">IF(OR(D11=" ",D11="Complete the item")," ",IF(VLOOKUP(D12,Data!$A$32:$AH$56,IF(M12="Critical Success",5,IF(M12="Success",14,IF(M12="Failure",23,32))),)="X",Q11+1,IF(VLOOKUP(D12,Data!$A$32:$AH$56,IF(M12="Critical Success",5,IF(M12="Success",14,IF(M12="Failure",23,32))),)="XX",Q11+2,Q11)))</f>
        <v xml:space="preserve"> </v>
      </c>
      <c r="R12" s="54" t="str">
        <f ca="1">IF(OR(D11=" ",D11="Complete the item")," ",IF(VLOOKUP(D12,Data!$A$32:$AH$56,IF(M12="Critical Success",6,IF(M12="Success",15,IF(M12="Failure",24,33))),)="X",R11+1,IF(VLOOKUP(D12,Data!$A$32:$AH$56,IF(M12="Critical Success",6,IF(M12="Success",15,IF(M12="Failure",24,33))),)="XX",R11+2,R11)))</f>
        <v xml:space="preserve"> </v>
      </c>
      <c r="S12" s="54" t="str">
        <f ca="1">IF(OR(D11=" ",D11="Complete the item")," ",IF(VLOOKUP(D12,Data!$A$32:$AH$56,IF(M12="Critical Success",7,IF(M12="Success",16,IF(M12="Failure",25,34))),)="X",S11+1,IF(VLOOKUP(D12,Data!$A$32:$AH$56,IF(M12="Critical Success",7,IF(M12="Success",16,IF(M12="Failure",25,34))),)="XX",S11+2,S11)))</f>
        <v xml:space="preserve"> </v>
      </c>
    </row>
    <row r="13" spans="1:19" x14ac:dyDescent="0.25">
      <c r="A13" s="54" t="str">
        <f t="shared" ca="1" si="1"/>
        <v xml:space="preserve"> </v>
      </c>
      <c r="B13" s="54" t="str">
        <f t="shared" ca="1" si="2"/>
        <v xml:space="preserve"> </v>
      </c>
      <c r="C13" s="54" t="str">
        <f ca="1">IF(OR(D12="Complete the item",D12=" ")," ",Data!A70)</f>
        <v xml:space="preserve"> </v>
      </c>
      <c r="D13" s="54" t="str">
        <f ca="1">IF(P12=" "," ",IF(A13&lt;P12,VLOOKUP(C13,Data!$A$2:$E$24,5),IF(OR(D12=" ",D12="Complete the item")," ","Complete the item")))</f>
        <v xml:space="preserve"> </v>
      </c>
      <c r="E13" s="54" t="str">
        <f ca="1">IF(D13=" "," ",VLOOKUP($D13,Tabelle6[[Challenges]:[Bester für Skill 2]],2))</f>
        <v xml:space="preserve"> </v>
      </c>
      <c r="F13" s="54" t="str">
        <f ca="1">IF(D13=" "," ",VLOOKUP($D13,'Challenge Liste'!$A$3:$F$27,2))</f>
        <v xml:space="preserve"> </v>
      </c>
      <c r="G13" s="54" t="str">
        <f ca="1">IF(D13=" "," ",VLOOKUP($D13,'Challenge Liste'!$A$3:$I$27,5))</f>
        <v xml:space="preserve"> </v>
      </c>
      <c r="H13" s="54" t="str">
        <f ca="1">IF(D13=" "," ",IF(E13=0,"-",HLOOKUP(E13,'Skill Liste'!$C$1:$H$29,LOOKUP(F13,'Skill Liste'!$B$2:$B$29,'Skill Liste'!$A$2:$A$29),FALSE)+Data!B71))</f>
        <v xml:space="preserve"> </v>
      </c>
      <c r="I13" s="54" t="str">
        <f ca="1">IF(D13=" "," ",VLOOKUP($D13,Tabelle6[[Challenges]:[Bester für Skill 2]],3))</f>
        <v xml:space="preserve"> </v>
      </c>
      <c r="J13" s="54" t="str">
        <f ca="1">IF(D13=" "," ",VLOOKUP($D13,'Challenge Liste'!$A$3:$F$27,6))</f>
        <v xml:space="preserve"> </v>
      </c>
      <c r="K13" s="54" t="str">
        <f ca="1">IF(D13=" "," ",VLOOKUP($D13,'Challenge Liste'!$A$3:$I$27,9))</f>
        <v xml:space="preserve"> </v>
      </c>
      <c r="L13" s="54" t="str">
        <f ca="1">IF(D13=" "," ",IF(I13=0,"-",HLOOKUP(I13,'Skill Liste'!$C$1:$H$29,LOOKUP(J13,'Skill Liste'!$B$2:$B$29,'Skill Liste'!$A$2:$A$29),FALSE)+Data!C71))</f>
        <v xml:space="preserve"> </v>
      </c>
      <c r="M13" s="54" t="str">
        <f t="shared" ref="M13:M46" ca="1" si="3">IF(D13=" "," ",IF(AND(H13&lt;&gt;"-",L13&lt;&gt;"-"),IF(AND(H13&gt;=G13,L13&gt;=K13),"Critical Success",IF(OR(AND(H13&gt;=G13,L13&gt;K13-5),AND(H13&gt;G13-5,L13&gt;=K13)),"Success",IF(AND(H13&lt;G13,L13&lt;K13),"Critical Failure","Failure"))),IF(H13="-",IF(L13&gt;=K13,"Success","Failure"),IF(H13&gt;=G13,"Success","Failure"))))</f>
        <v xml:space="preserve"> </v>
      </c>
      <c r="N13" s="54" t="str">
        <f ca="1">IF(D13=" "," ",VLOOKUP(D13,Data!$A$32:$AH$56,IF(M13="Critical Success",2,IF(M13="Success",11,IF(M13="Failure",20,29))),))</f>
        <v xml:space="preserve"> </v>
      </c>
      <c r="O13" s="54" t="str">
        <f ca="1">IF(D13=" "," ",VLOOKUP(D13,Data!$A$32:$AH$56,IF(M13="Critical Success",3,IF(M13="Success",12,IF(M13="Failure",21,30))),)+O12)</f>
        <v xml:space="preserve"> </v>
      </c>
      <c r="P13" s="54" t="str">
        <f ca="1">IF(OR(D13=" ",D13="Complete the item")," ",VLOOKUP(D13,Data!$A$32:$AH$56,IF(M13="Critical Success",4,IF(M13="Success",13,IF(M13="Failure",22,31))),)+P12)</f>
        <v xml:space="preserve"> </v>
      </c>
      <c r="Q13" s="54" t="str">
        <f ca="1">IF(OR(D12=" ",D12="Complete the item")," ",IF(VLOOKUP(D13,Data!$A$32:$AH$56,IF(M13="Critical Success",5,IF(M13="Success",14,IF(M13="Failure",23,32))),)="X",Q12+1,IF(VLOOKUP(D13,Data!$A$32:$AH$56,IF(M13="Critical Success",5,IF(M13="Success",14,IF(M13="Failure",23,32))),)="XX",Q12+2,Q12)))</f>
        <v xml:space="preserve"> </v>
      </c>
      <c r="R13" s="54" t="str">
        <f ca="1">IF(OR(D12=" ",D12="Complete the item")," ",IF(VLOOKUP(D13,Data!$A$32:$AH$56,IF(M13="Critical Success",6,IF(M13="Success",15,IF(M13="Failure",24,33))),)="X",R12+1,IF(VLOOKUP(D13,Data!$A$32:$AH$56,IF(M13="Critical Success",6,IF(M13="Success",15,IF(M13="Failure",24,33))),)="XX",R12+2,R12)))</f>
        <v xml:space="preserve"> </v>
      </c>
      <c r="S13" s="54" t="str">
        <f ca="1">IF(OR(D12=" ",D12="Complete the item")," ",IF(VLOOKUP(D13,Data!$A$32:$AH$56,IF(M13="Critical Success",7,IF(M13="Success",16,IF(M13="Failure",25,34))),)="X",S12+1,IF(VLOOKUP(D13,Data!$A$32:$AH$56,IF(M13="Critical Success",7,IF(M13="Success",16,IF(M13="Failure",25,34))),)="XX",S12+2,S12)))</f>
        <v xml:space="preserve"> </v>
      </c>
    </row>
    <row r="14" spans="1:19" x14ac:dyDescent="0.25">
      <c r="A14" s="54" t="str">
        <f t="shared" ca="1" si="1"/>
        <v xml:space="preserve"> </v>
      </c>
      <c r="B14" s="54" t="str">
        <f t="shared" ca="1" si="2"/>
        <v xml:space="preserve"> </v>
      </c>
      <c r="C14" s="54" t="str">
        <f ca="1">IF(OR(D13="Complete the item",D13=" ")," ",Data!A71)</f>
        <v xml:space="preserve"> </v>
      </c>
      <c r="D14" s="54" t="str">
        <f ca="1">IF(P13=" "," ",IF(A14&lt;P13,VLOOKUP(C14,Data!$A$2:$E$24,5),IF(OR(D13=" ",D13="Complete the item")," ","Complete the item")))</f>
        <v xml:space="preserve"> </v>
      </c>
      <c r="E14" s="54" t="str">
        <f ca="1">IF(D14=" "," ",VLOOKUP($D14,Tabelle6[[Challenges]:[Bester für Skill 2]],2))</f>
        <v xml:space="preserve"> </v>
      </c>
      <c r="F14" s="54" t="str">
        <f ca="1">IF(D14=" "," ",VLOOKUP($D14,'Challenge Liste'!$A$3:$F$27,2))</f>
        <v xml:space="preserve"> </v>
      </c>
      <c r="G14" s="54" t="str">
        <f ca="1">IF(D14=" "," ",VLOOKUP($D14,'Challenge Liste'!$A$3:$I$27,5))</f>
        <v xml:space="preserve"> </v>
      </c>
      <c r="H14" s="54" t="str">
        <f ca="1">IF(D14=" "," ",IF(E14=0,"-",HLOOKUP(E14,'Skill Liste'!$C$1:$H$29,LOOKUP(F14,'Skill Liste'!$B$2:$B$29,'Skill Liste'!$A$2:$A$29),FALSE)+Data!B72))</f>
        <v xml:space="preserve"> </v>
      </c>
      <c r="I14" s="54" t="str">
        <f ca="1">IF(D14=" "," ",VLOOKUP($D14,Tabelle6[[Challenges]:[Bester für Skill 2]],3))</f>
        <v xml:space="preserve"> </v>
      </c>
      <c r="J14" s="54" t="str">
        <f ca="1">IF(D14=" "," ",VLOOKUP($D14,'Challenge Liste'!$A$3:$F$27,6))</f>
        <v xml:space="preserve"> </v>
      </c>
      <c r="K14" s="54" t="str">
        <f ca="1">IF(D14=" "," ",VLOOKUP($D14,'Challenge Liste'!$A$3:$I$27,9))</f>
        <v xml:space="preserve"> </v>
      </c>
      <c r="L14" s="54" t="str">
        <f ca="1">IF(D14=" "," ",IF(I14=0,"-",HLOOKUP(I14,'Skill Liste'!$C$1:$H$29,LOOKUP(J14,'Skill Liste'!$B$2:$B$29,'Skill Liste'!$A$2:$A$29),FALSE)+Data!C72))</f>
        <v xml:space="preserve"> </v>
      </c>
      <c r="M14" s="54" t="str">
        <f t="shared" ca="1" si="3"/>
        <v xml:space="preserve"> </v>
      </c>
      <c r="N14" s="54" t="str">
        <f ca="1">IF(D14=" "," ",VLOOKUP(D14,Data!$A$32:$AH$56,IF(M14="Critical Success",2,IF(M14="Success",11,IF(M14="Failure",20,29))),))</f>
        <v xml:space="preserve"> </v>
      </c>
      <c r="O14" s="54" t="str">
        <f ca="1">IF(D14=" "," ",VLOOKUP(D14,Data!$A$32:$AH$56,IF(M14="Critical Success",3,IF(M14="Success",12,IF(M14="Failure",21,30))),)+O13)</f>
        <v xml:space="preserve"> </v>
      </c>
      <c r="P14" s="54" t="str">
        <f ca="1">IF(OR(D14=" ",D14="Complete the item")," ",VLOOKUP(D14,Data!$A$32:$AH$56,IF(M14="Critical Success",4,IF(M14="Success",13,IF(M14="Failure",22,31))),)+P13)</f>
        <v xml:space="preserve"> </v>
      </c>
      <c r="Q14" s="54" t="str">
        <f ca="1">IF(OR(D13=" ",D13="Complete the item")," ",IF(VLOOKUP(D14,Data!$A$32:$AH$56,IF(M14="Critical Success",5,IF(M14="Success",14,IF(M14="Failure",23,32))),)="X",Q13+1,IF(VLOOKUP(D14,Data!$A$32:$AH$56,IF(M14="Critical Success",5,IF(M14="Success",14,IF(M14="Failure",23,32))),)="XX",Q13+2,Q13)))</f>
        <v xml:space="preserve"> </v>
      </c>
      <c r="R14" s="54" t="str">
        <f ca="1">IF(OR(D13=" ",D13="Complete the item")," ",IF(VLOOKUP(D14,Data!$A$32:$AH$56,IF(M14="Critical Success",6,IF(M14="Success",15,IF(M14="Failure",24,33))),)="X",R13+1,IF(VLOOKUP(D14,Data!$A$32:$AH$56,IF(M14="Critical Success",6,IF(M14="Success",15,IF(M14="Failure",24,33))),)="XX",R13+2,R13)))</f>
        <v xml:space="preserve"> </v>
      </c>
      <c r="S14" s="54" t="str">
        <f ca="1">IF(OR(D13=" ",D13="Complete the item")," ",IF(VLOOKUP(D14,Data!$A$32:$AH$56,IF(M14="Critical Success",7,IF(M14="Success",16,IF(M14="Failure",25,34))),)="X",S13+1,IF(VLOOKUP(D14,Data!$A$32:$AH$56,IF(M14="Critical Success",7,IF(M14="Success",16,IF(M14="Failure",25,34))),)="XX",S13+2,S13)))</f>
        <v xml:space="preserve"> </v>
      </c>
    </row>
    <row r="15" spans="1:19" x14ac:dyDescent="0.25">
      <c r="A15" s="54" t="str">
        <f t="shared" ca="1" si="1"/>
        <v xml:space="preserve"> </v>
      </c>
      <c r="B15" s="54" t="str">
        <f t="shared" ca="1" si="2"/>
        <v xml:space="preserve"> </v>
      </c>
      <c r="C15" s="54" t="str">
        <f ca="1">IF(OR(D14="Complete the item",D14=" ")," ",Data!A72)</f>
        <v xml:space="preserve"> </v>
      </c>
      <c r="D15" s="54" t="str">
        <f ca="1">IF(P14=" "," ",IF(A15&lt;P14,VLOOKUP(C15,Data!$A$2:$E$24,5),IF(OR(D14=" ",D14="Complete the item")," ","Complete the item")))</f>
        <v xml:space="preserve"> </v>
      </c>
      <c r="E15" s="54" t="str">
        <f ca="1">IF(D15=" "," ",VLOOKUP($D15,Tabelle6[[Challenges]:[Bester für Skill 2]],2))</f>
        <v xml:space="preserve"> </v>
      </c>
      <c r="F15" s="54" t="str">
        <f ca="1">IF(D15=" "," ",VLOOKUP($D15,'Challenge Liste'!$A$3:$F$27,2))</f>
        <v xml:space="preserve"> </v>
      </c>
      <c r="G15" s="54" t="str">
        <f ca="1">IF(D15=" "," ",VLOOKUP($D15,'Challenge Liste'!$A$3:$I$27,5))</f>
        <v xml:space="preserve"> </v>
      </c>
      <c r="H15" s="54" t="str">
        <f ca="1">IF(D15=" "," ",IF(E15=0,"-",HLOOKUP(E15,'Skill Liste'!$C$1:$H$29,LOOKUP(F15,'Skill Liste'!$B$2:$B$29,'Skill Liste'!$A$2:$A$29),FALSE)+Data!B73))</f>
        <v xml:space="preserve"> </v>
      </c>
      <c r="I15" s="54" t="str">
        <f ca="1">IF(D15=" "," ",VLOOKUP($D15,Tabelle6[[Challenges]:[Bester für Skill 2]],3))</f>
        <v xml:space="preserve"> </v>
      </c>
      <c r="J15" s="54" t="str">
        <f ca="1">IF(D15=" "," ",VLOOKUP($D15,'Challenge Liste'!$A$3:$F$27,6))</f>
        <v xml:space="preserve"> </v>
      </c>
      <c r="K15" s="54" t="str">
        <f ca="1">IF(D15=" "," ",VLOOKUP($D15,'Challenge Liste'!$A$3:$I$27,9))</f>
        <v xml:space="preserve"> </v>
      </c>
      <c r="L15" s="54" t="str">
        <f ca="1">IF(D15=" "," ",IF(I15=0,"-",HLOOKUP(I15,'Skill Liste'!$C$1:$H$29,LOOKUP(J15,'Skill Liste'!$B$2:$B$29,'Skill Liste'!$A$2:$A$29),FALSE)+Data!C73))</f>
        <v xml:space="preserve"> </v>
      </c>
      <c r="M15" s="54" t="str">
        <f t="shared" ca="1" si="3"/>
        <v xml:space="preserve"> </v>
      </c>
      <c r="N15" s="54" t="str">
        <f ca="1">IF(D15=" "," ",VLOOKUP(D15,Data!$A$32:$AH$56,IF(M15="Critical Success",2,IF(M15="Success",11,IF(M15="Failure",20,29))),))</f>
        <v xml:space="preserve"> </v>
      </c>
      <c r="O15" s="54" t="str">
        <f ca="1">IF(D15=" "," ",VLOOKUP(D15,Data!$A$32:$AH$56,IF(M15="Critical Success",3,IF(M15="Success",12,IF(M15="Failure",21,30))),)+O14)</f>
        <v xml:space="preserve"> </v>
      </c>
      <c r="P15" s="54" t="str">
        <f ca="1">IF(OR(D15=" ",D15="Complete the item")," ",VLOOKUP(D15,Data!$A$32:$AH$56,IF(M15="Critical Success",4,IF(M15="Success",13,IF(M15="Failure",22,31))),)+P14)</f>
        <v xml:space="preserve"> </v>
      </c>
      <c r="Q15" s="54" t="str">
        <f ca="1">IF(OR(D14=" ",D14="Complete the item")," ",IF(VLOOKUP(D15,Data!$A$32:$AH$56,IF(M15="Critical Success",5,IF(M15="Success",14,IF(M15="Failure",23,32))),)="X",Q14+1,IF(VLOOKUP(D15,Data!$A$32:$AH$56,IF(M15="Critical Success",5,IF(M15="Success",14,IF(M15="Failure",23,32))),)="XX",Q14+2,Q14)))</f>
        <v xml:space="preserve"> </v>
      </c>
      <c r="R15" s="54" t="str">
        <f ca="1">IF(OR(D14=" ",D14="Complete the item")," ",IF(VLOOKUP(D15,Data!$A$32:$AH$56,IF(M15="Critical Success",6,IF(M15="Success",15,IF(M15="Failure",24,33))),)="X",R14+1,IF(VLOOKUP(D15,Data!$A$32:$AH$56,IF(M15="Critical Success",6,IF(M15="Success",15,IF(M15="Failure",24,33))),)="XX",R14+2,R14)))</f>
        <v xml:space="preserve"> </v>
      </c>
      <c r="S15" s="54" t="str">
        <f ca="1">IF(OR(D14=" ",D14="Complete the item")," ",IF(VLOOKUP(D15,Data!$A$32:$AH$56,IF(M15="Critical Success",7,IF(M15="Success",16,IF(M15="Failure",25,34))),)="X",S14+1,IF(VLOOKUP(D15,Data!$A$32:$AH$56,IF(M15="Critical Success",7,IF(M15="Success",16,IF(M15="Failure",25,34))),)="XX",S14+2,S14)))</f>
        <v xml:space="preserve"> </v>
      </c>
    </row>
    <row r="16" spans="1:19" x14ac:dyDescent="0.25">
      <c r="A16" s="54" t="str">
        <f ca="1">IF(OR(D15="Complete the item",D15=" ")," ",IF((ROUNDDOWN((P15-A15)/($G$1-ROW(A16)+5),0)+A15)=A15,A15+1,ROUNDDOWN((P15-A15)/($G$1-ROW(A16)+5),0)+A15))</f>
        <v xml:space="preserve"> </v>
      </c>
      <c r="B16" s="54" t="str">
        <f ca="1">IF(OR(D15=" ",D15="Complete the item")," ",B15+1)</f>
        <v xml:space="preserve"> </v>
      </c>
      <c r="C16" s="54" t="str">
        <f ca="1">IF(OR(D15="Complete the item",D15=" ")," ",Data!A73)</f>
        <v xml:space="preserve"> </v>
      </c>
      <c r="D16" s="54" t="str">
        <f ca="1">IF(P15=" "," ",IF(A16&lt;P15,VLOOKUP(C16,Data!$A$2:$E$24,5),IF(OR(D15=" ",D15="Complete the item")," ","Complete the item")))</f>
        <v xml:space="preserve"> </v>
      </c>
      <c r="E16" s="54" t="str">
        <f ca="1">IF(D16=" "," ",VLOOKUP($D16,Tabelle6[[Challenges]:[Bester für Skill 2]],2))</f>
        <v xml:space="preserve"> </v>
      </c>
      <c r="F16" s="54" t="str">
        <f ca="1">IF(D16=" "," ",VLOOKUP($D16,'Challenge Liste'!$A$3:$F$27,2))</f>
        <v xml:space="preserve"> </v>
      </c>
      <c r="G16" s="54" t="str">
        <f ca="1">IF(D16=" "," ",VLOOKUP($D16,'Challenge Liste'!$A$3:$I$27,5))</f>
        <v xml:space="preserve"> </v>
      </c>
      <c r="H16" s="54" t="str">
        <f ca="1">IF(D16=" "," ",IF(E16=0,"-",HLOOKUP(E16,'Skill Liste'!$C$1:$H$29,LOOKUP(F16,'Skill Liste'!$B$2:$B$29,'Skill Liste'!$A$2:$A$29),FALSE)+Data!B74))</f>
        <v xml:space="preserve"> </v>
      </c>
      <c r="I16" s="54" t="str">
        <f ca="1">IF(D16=" "," ",VLOOKUP($D16,Tabelle6[[Challenges]:[Bester für Skill 2]],3))</f>
        <v xml:space="preserve"> </v>
      </c>
      <c r="J16" s="54" t="str">
        <f ca="1">IF(D16=" "," ",VLOOKUP($D16,'Challenge Liste'!$A$3:$F$27,6))</f>
        <v xml:space="preserve"> </v>
      </c>
      <c r="K16" s="54" t="str">
        <f ca="1">IF(D16=" "," ",VLOOKUP($D16,'Challenge Liste'!$A$3:$I$27,9))</f>
        <v xml:space="preserve"> </v>
      </c>
      <c r="L16" s="54" t="str">
        <f ca="1">IF(D16=" "," ",IF(I16=0,"-",HLOOKUP(I16,'Skill Liste'!$C$1:$H$29,LOOKUP(J16,'Skill Liste'!$B$2:$B$29,'Skill Liste'!$A$2:$A$29),FALSE)+Data!C74))</f>
        <v xml:space="preserve"> </v>
      </c>
      <c r="M16" s="54" t="str">
        <f t="shared" ca="1" si="3"/>
        <v xml:space="preserve"> </v>
      </c>
      <c r="N16" s="54" t="str">
        <f ca="1">IF(D16=" "," ",VLOOKUP(D16,Data!$A$32:$AH$56,IF(M16="Critical Success",2,IF(M16="Success",11,IF(M16="Failure",20,29))),))</f>
        <v xml:space="preserve"> </v>
      </c>
      <c r="O16" s="54" t="str">
        <f ca="1">IF(D16=" "," ",VLOOKUP(D16,Data!$A$32:$AH$56,IF(M16="Critical Success",3,IF(M16="Success",12,IF(M16="Failure",21,30))),)+O15)</f>
        <v xml:space="preserve"> </v>
      </c>
      <c r="P16" s="54" t="str">
        <f ca="1">IF(OR(D16=" ",D16="Complete the item")," ",VLOOKUP(D16,Data!$A$32:$AH$56,IF(M16="Critical Success",4,IF(M16="Success",13,IF(M16="Failure",22,31))),)+P15)</f>
        <v xml:space="preserve"> </v>
      </c>
      <c r="Q16" s="54" t="str">
        <f ca="1">IF(OR(D15=" ",D15="Complete the item")," ",IF(VLOOKUP(D16,Data!$A$32:$AH$56,IF(M16="Critical Success",5,IF(M16="Success",14,IF(M16="Failure",23,32))),)="X",Q15+1,IF(VLOOKUP(D16,Data!$A$32:$AH$56,IF(M16="Critical Success",5,IF(M16="Success",14,IF(M16="Failure",23,32))),)="XX",Q15+2,Q15)))</f>
        <v xml:space="preserve"> </v>
      </c>
      <c r="R16" s="54" t="str">
        <f ca="1">IF(OR(D15=" ",D15="Complete the item")," ",IF(VLOOKUP(D16,Data!$A$32:$AH$56,IF(M16="Critical Success",6,IF(M16="Success",15,IF(M16="Failure",24,33))),)="X",R15+1,IF(VLOOKUP(D16,Data!$A$32:$AH$56,IF(M16="Critical Success",6,IF(M16="Success",15,IF(M16="Failure",24,33))),)="XX",R15+2,R15)))</f>
        <v xml:space="preserve"> </v>
      </c>
      <c r="S16" s="54" t="str">
        <f ca="1">IF(OR(D15=" ",D15="Complete the item")," ",IF(VLOOKUP(D16,Data!$A$32:$AH$56,IF(M16="Critical Success",7,IF(M16="Success",16,IF(M16="Failure",25,34))),)="X",S15+1,IF(VLOOKUP(D16,Data!$A$32:$AH$56,IF(M16="Critical Success",7,IF(M16="Success",16,IF(M16="Failure",25,34))),)="XX",S15+2,S15)))</f>
        <v xml:space="preserve"> </v>
      </c>
    </row>
    <row r="17" spans="1:19" x14ac:dyDescent="0.25">
      <c r="A17" s="54" t="str">
        <f t="shared" ref="A17:A46" ca="1" si="4">IF(OR(D16="Complete the item",D16=" ")," ",IF((ROUNDDOWN((P16-A16)/($G$1-ROW(A17)+5),0)+A16)=A16,A16+1,ROUNDDOWN((P16-A16)/($G$1-ROW(A17)+5),0)+A16))</f>
        <v xml:space="preserve"> </v>
      </c>
      <c r="B17" s="54" t="str">
        <f t="shared" ref="B17:B46" ca="1" si="5">IF(OR(D16=" ",D16="Complete the item")," ",B16+1)</f>
        <v xml:space="preserve"> </v>
      </c>
      <c r="C17" s="54" t="str">
        <f ca="1">IF(OR(D16="Complete the item",D16=" ")," ",Data!A74)</f>
        <v xml:space="preserve"> </v>
      </c>
      <c r="D17" s="54" t="str">
        <f ca="1">IF(P16=" "," ",IF(A17&lt;P16,VLOOKUP(C17,Data!$A$2:$E$24,5),IF(OR(D16=" ",D16="Complete the item")," ","Complete the item")))</f>
        <v xml:space="preserve"> </v>
      </c>
      <c r="E17" s="54" t="str">
        <f ca="1">IF(D17=" "," ",VLOOKUP($D17,Tabelle6[[Challenges]:[Bester für Skill 2]],2))</f>
        <v xml:space="preserve"> </v>
      </c>
      <c r="F17" s="54" t="str">
        <f ca="1">IF(D17=" "," ",VLOOKUP($D17,'Challenge Liste'!$A$3:$F$27,2))</f>
        <v xml:space="preserve"> </v>
      </c>
      <c r="G17" s="54" t="str">
        <f ca="1">IF(D17=" "," ",VLOOKUP($D17,'Challenge Liste'!$A$3:$I$27,5))</f>
        <v xml:space="preserve"> </v>
      </c>
      <c r="H17" s="54" t="str">
        <f ca="1">IF(D17=" "," ",IF(E17=0,"-",HLOOKUP(E17,'Skill Liste'!$C$1:$H$29,LOOKUP(F17,'Skill Liste'!$B$2:$B$29,'Skill Liste'!$A$2:$A$29),FALSE)+Data!B75))</f>
        <v xml:space="preserve"> </v>
      </c>
      <c r="I17" s="54" t="str">
        <f ca="1">IF(D17=" "," ",VLOOKUP($D17,Tabelle6[[Challenges]:[Bester für Skill 2]],3))</f>
        <v xml:space="preserve"> </v>
      </c>
      <c r="J17" s="54" t="str">
        <f ca="1">IF(D17=" "," ",VLOOKUP($D17,'Challenge Liste'!$A$3:$F$27,6))</f>
        <v xml:space="preserve"> </v>
      </c>
      <c r="K17" s="54" t="str">
        <f ca="1">IF(D17=" "," ",VLOOKUP($D17,'Challenge Liste'!$A$3:$I$27,9))</f>
        <v xml:space="preserve"> </v>
      </c>
      <c r="L17" s="54" t="str">
        <f ca="1">IF(D17=" "," ",IF(I17=0,"-",HLOOKUP(I17,'Skill Liste'!$C$1:$H$29,LOOKUP(J17,'Skill Liste'!$B$2:$B$29,'Skill Liste'!$A$2:$A$29),FALSE)+Data!C75))</f>
        <v xml:space="preserve"> </v>
      </c>
      <c r="M17" s="54" t="str">
        <f t="shared" ca="1" si="3"/>
        <v xml:space="preserve"> </v>
      </c>
      <c r="N17" s="54" t="str">
        <f ca="1">IF(D17=" "," ",VLOOKUP(D17,Data!$A$32:$AH$56,IF(M17="Critical Success",2,IF(M17="Success",11,IF(M17="Failure",20,29))),))</f>
        <v xml:space="preserve"> </v>
      </c>
      <c r="O17" s="54" t="str">
        <f ca="1">IF(D17=" "," ",VLOOKUP(D17,Data!$A$32:$AH$56,IF(M17="Critical Success",3,IF(M17="Success",12,IF(M17="Failure",21,30))),)+O16)</f>
        <v xml:space="preserve"> </v>
      </c>
      <c r="P17" s="54" t="str">
        <f ca="1">IF(OR(D17=" ",D17="Complete the item")," ",VLOOKUP(D17,Data!$A$32:$AH$56,IF(M17="Critical Success",4,IF(M17="Success",13,IF(M17="Failure",22,31))),)+P16)</f>
        <v xml:space="preserve"> </v>
      </c>
      <c r="Q17" s="54" t="str">
        <f ca="1">IF(OR(D16=" ",D16="Complete the item")," ",IF(VLOOKUP(D17,Data!$A$32:$AH$56,IF(M17="Critical Success",5,IF(M17="Success",14,IF(M17="Failure",23,32))),)="X",Q16+1,IF(VLOOKUP(D17,Data!$A$32:$AH$56,IF(M17="Critical Success",5,IF(M17="Success",14,IF(M17="Failure",23,32))),)="XX",Q16+2,Q16)))</f>
        <v xml:space="preserve"> </v>
      </c>
      <c r="R17" s="54" t="str">
        <f ca="1">IF(OR(D16=" ",D16="Complete the item")," ",IF(VLOOKUP(D17,Data!$A$32:$AH$56,IF(M17="Critical Success",6,IF(M17="Success",15,IF(M17="Failure",24,33))),)="X",R16+1,IF(VLOOKUP(D17,Data!$A$32:$AH$56,IF(M17="Critical Success",6,IF(M17="Success",15,IF(M17="Failure",24,33))),)="XX",R16+2,R16)))</f>
        <v xml:space="preserve"> </v>
      </c>
      <c r="S17" s="54" t="str">
        <f ca="1">IF(OR(D16=" ",D16="Complete the item")," ",IF(VLOOKUP(D17,Data!$A$32:$AH$56,IF(M17="Critical Success",7,IF(M17="Success",16,IF(M17="Failure",25,34))),)="X",S16+1,IF(VLOOKUP(D17,Data!$A$32:$AH$56,IF(M17="Critical Success",7,IF(M17="Success",16,IF(M17="Failure",25,34))),)="XX",S16+2,S16)))</f>
        <v xml:space="preserve"> </v>
      </c>
    </row>
    <row r="18" spans="1:19" x14ac:dyDescent="0.25">
      <c r="A18" s="54" t="str">
        <f t="shared" ca="1" si="4"/>
        <v xml:space="preserve"> </v>
      </c>
      <c r="B18" s="54" t="str">
        <f t="shared" ca="1" si="5"/>
        <v xml:space="preserve"> </v>
      </c>
      <c r="C18" s="54" t="str">
        <f ca="1">IF(OR(D17="Complete the item",D17=" ")," ",Data!A75)</f>
        <v xml:space="preserve"> </v>
      </c>
      <c r="D18" s="54" t="str">
        <f ca="1">IF(P17=" "," ",IF(A18&lt;P17,VLOOKUP(C18,Data!$A$2:$E$24,5),IF(OR(D17=" ",D17="Complete the item")," ","Complete the item")))</f>
        <v xml:space="preserve"> </v>
      </c>
      <c r="E18" s="54" t="str">
        <f ca="1">IF(D18=" "," ",VLOOKUP($D18,Tabelle6[[Challenges]:[Bester für Skill 2]],2))</f>
        <v xml:space="preserve"> </v>
      </c>
      <c r="F18" s="54" t="str">
        <f ca="1">IF(D18=" "," ",VLOOKUP($D18,'Challenge Liste'!$A$3:$F$27,2))</f>
        <v xml:space="preserve"> </v>
      </c>
      <c r="G18" s="54" t="str">
        <f ca="1">IF(D18=" "," ",VLOOKUP($D18,'Challenge Liste'!$A$3:$I$27,5))</f>
        <v xml:space="preserve"> </v>
      </c>
      <c r="H18" s="54" t="str">
        <f ca="1">IF(D18=" "," ",IF(E18=0,"-",HLOOKUP(E18,'Skill Liste'!$C$1:$H$29,LOOKUP(F18,'Skill Liste'!$B$2:$B$29,'Skill Liste'!$A$2:$A$29),FALSE)+Data!B76))</f>
        <v xml:space="preserve"> </v>
      </c>
      <c r="I18" s="54" t="str">
        <f ca="1">IF(D18=" "," ",VLOOKUP($D18,Tabelle6[[Challenges]:[Bester für Skill 2]],3))</f>
        <v xml:space="preserve"> </v>
      </c>
      <c r="J18" s="54" t="str">
        <f ca="1">IF(D18=" "," ",VLOOKUP($D18,'Challenge Liste'!$A$3:$F$27,6))</f>
        <v xml:space="preserve"> </v>
      </c>
      <c r="K18" s="54" t="str">
        <f ca="1">IF(D18=" "," ",VLOOKUP($D18,'Challenge Liste'!$A$3:$I$27,9))</f>
        <v xml:space="preserve"> </v>
      </c>
      <c r="L18" s="54" t="str">
        <f ca="1">IF(D18=" "," ",IF(I18=0,"-",HLOOKUP(I18,'Skill Liste'!$C$1:$H$29,LOOKUP(J18,'Skill Liste'!$B$2:$B$29,'Skill Liste'!$A$2:$A$29),FALSE)+Data!C76))</f>
        <v xml:space="preserve"> </v>
      </c>
      <c r="M18" s="54" t="str">
        <f t="shared" ca="1" si="3"/>
        <v xml:space="preserve"> </v>
      </c>
      <c r="N18" s="54" t="str">
        <f ca="1">IF(D18=" "," ",VLOOKUP(D18,Data!$A$32:$AH$56,IF(M18="Critical Success",2,IF(M18="Success",11,IF(M18="Failure",20,29))),))</f>
        <v xml:space="preserve"> </v>
      </c>
      <c r="O18" s="54" t="str">
        <f ca="1">IF(D18=" "," ",VLOOKUP(D18,Data!$A$32:$AH$56,IF(M18="Critical Success",3,IF(M18="Success",12,IF(M18="Failure",21,30))),)+O17)</f>
        <v xml:space="preserve"> </v>
      </c>
      <c r="P18" s="54" t="str">
        <f ca="1">IF(OR(D18=" ",D18="Complete the item")," ",VLOOKUP(D18,Data!$A$32:$AH$56,IF(M18="Critical Success",4,IF(M18="Success",13,IF(M18="Failure",22,31))),)+P17)</f>
        <v xml:space="preserve"> </v>
      </c>
      <c r="Q18" s="54" t="str">
        <f ca="1">IF(OR(D17=" ",D17="Complete the item")," ",IF(VLOOKUP(D18,Data!$A$32:$AH$56,IF(M18="Critical Success",5,IF(M18="Success",14,IF(M18="Failure",23,32))),)="X",Q17+1,IF(VLOOKUP(D18,Data!$A$32:$AH$56,IF(M18="Critical Success",5,IF(M18="Success",14,IF(M18="Failure",23,32))),)="XX",Q17+2,Q17)))</f>
        <v xml:space="preserve"> </v>
      </c>
      <c r="R18" s="54" t="str">
        <f ca="1">IF(OR(D17=" ",D17="Complete the item")," ",IF(VLOOKUP(D18,Data!$A$32:$AH$56,IF(M18="Critical Success",6,IF(M18="Success",15,IF(M18="Failure",24,33))),)="X",R17+1,IF(VLOOKUP(D18,Data!$A$32:$AH$56,IF(M18="Critical Success",6,IF(M18="Success",15,IF(M18="Failure",24,33))),)="XX",R17+2,R17)))</f>
        <v xml:space="preserve"> </v>
      </c>
      <c r="S18" s="54" t="str">
        <f ca="1">IF(OR(D17=" ",D17="Complete the item")," ",IF(VLOOKUP(D18,Data!$A$32:$AH$56,IF(M18="Critical Success",7,IF(M18="Success",16,IF(M18="Failure",25,34))),)="X",S17+1,IF(VLOOKUP(D18,Data!$A$32:$AH$56,IF(M18="Critical Success",7,IF(M18="Success",16,IF(M18="Failure",25,34))),)="XX",S17+2,S17)))</f>
        <v xml:space="preserve"> </v>
      </c>
    </row>
    <row r="19" spans="1:19" x14ac:dyDescent="0.25">
      <c r="A19" s="54" t="str">
        <f t="shared" ca="1" si="4"/>
        <v xml:space="preserve"> </v>
      </c>
      <c r="B19" s="54" t="str">
        <f t="shared" ca="1" si="5"/>
        <v xml:space="preserve"> </v>
      </c>
      <c r="C19" s="54" t="str">
        <f ca="1">IF(OR(D18="Complete the item",D18=" ")," ",Data!A76)</f>
        <v xml:space="preserve"> </v>
      </c>
      <c r="D19" s="54" t="str">
        <f ca="1">IF(P18=" "," ",IF(A19&lt;P18,VLOOKUP(C19,Data!$A$2:$E$24,5),IF(OR(D18=" ",D18="Complete the item")," ","Complete the item")))</f>
        <v xml:space="preserve"> </v>
      </c>
      <c r="E19" s="54" t="str">
        <f ca="1">IF(D19=" "," ",VLOOKUP($D19,Tabelle6[[Challenges]:[Bester für Skill 2]],2))</f>
        <v xml:space="preserve"> </v>
      </c>
      <c r="F19" s="54" t="str">
        <f ca="1">IF(D19=" "," ",VLOOKUP($D19,'Challenge Liste'!$A$3:$F$27,2))</f>
        <v xml:space="preserve"> </v>
      </c>
      <c r="G19" s="54" t="str">
        <f ca="1">IF(D19=" "," ",VLOOKUP($D19,'Challenge Liste'!$A$3:$I$27,5))</f>
        <v xml:space="preserve"> </v>
      </c>
      <c r="H19" s="54" t="str">
        <f ca="1">IF(D19=" "," ",IF(E19=0,"-",HLOOKUP(E19,'Skill Liste'!$C$1:$H$29,LOOKUP(F19,'Skill Liste'!$B$2:$B$29,'Skill Liste'!$A$2:$A$29),FALSE)+Data!B77))</f>
        <v xml:space="preserve"> </v>
      </c>
      <c r="I19" s="54" t="str">
        <f ca="1">IF(D19=" "," ",VLOOKUP($D19,Tabelle6[[Challenges]:[Bester für Skill 2]],3))</f>
        <v xml:space="preserve"> </v>
      </c>
      <c r="J19" s="54" t="str">
        <f ca="1">IF(D19=" "," ",VLOOKUP($D19,'Challenge Liste'!$A$3:$F$27,6))</f>
        <v xml:space="preserve"> </v>
      </c>
      <c r="K19" s="54" t="str">
        <f ca="1">IF(D19=" "," ",VLOOKUP($D19,'Challenge Liste'!$A$3:$I$27,9))</f>
        <v xml:space="preserve"> </v>
      </c>
      <c r="L19" s="54" t="str">
        <f ca="1">IF(D19=" "," ",IF(I19=0,"-",HLOOKUP(I19,'Skill Liste'!$C$1:$H$29,LOOKUP(J19,'Skill Liste'!$B$2:$B$29,'Skill Liste'!$A$2:$A$29),FALSE)+Data!C77))</f>
        <v xml:space="preserve"> </v>
      </c>
      <c r="M19" s="54" t="str">
        <f t="shared" ca="1" si="3"/>
        <v xml:space="preserve"> </v>
      </c>
      <c r="N19" s="54" t="str">
        <f ca="1">IF(D19=" "," ",VLOOKUP(D19,Data!$A$32:$AH$56,IF(M19="Critical Success",2,IF(M19="Success",11,IF(M19="Failure",20,29))),))</f>
        <v xml:space="preserve"> </v>
      </c>
      <c r="O19" s="54" t="str">
        <f ca="1">IF(D19=" "," ",VLOOKUP(D19,Data!$A$32:$AH$56,IF(M19="Critical Success",3,IF(M19="Success",12,IF(M19="Failure",21,30))),)+O18)</f>
        <v xml:space="preserve"> </v>
      </c>
      <c r="P19" s="54" t="str">
        <f ca="1">IF(OR(D19=" ",D19="Complete the item")," ",VLOOKUP(D19,Data!$A$32:$AH$56,IF(M19="Critical Success",4,IF(M19="Success",13,IF(M19="Failure",22,31))),)+P18)</f>
        <v xml:space="preserve"> </v>
      </c>
      <c r="Q19" s="54" t="str">
        <f ca="1">IF(OR(D18=" ",D18="Complete the item")," ",IF(VLOOKUP(D19,Data!$A$32:$AH$56,IF(M19="Critical Success",5,IF(M19="Success",14,IF(M19="Failure",23,32))),)="X",Q18+1,IF(VLOOKUP(D19,Data!$A$32:$AH$56,IF(M19="Critical Success",5,IF(M19="Success",14,IF(M19="Failure",23,32))),)="XX",Q18+2,Q18)))</f>
        <v xml:space="preserve"> </v>
      </c>
      <c r="R19" s="54" t="str">
        <f ca="1">IF(OR(D18=" ",D18="Complete the item")," ",IF(VLOOKUP(D19,Data!$A$32:$AH$56,IF(M19="Critical Success",6,IF(M19="Success",15,IF(M19="Failure",24,33))),)="X",R18+1,IF(VLOOKUP(D19,Data!$A$32:$AH$56,IF(M19="Critical Success",6,IF(M19="Success",15,IF(M19="Failure",24,33))),)="XX",R18+2,R18)))</f>
        <v xml:space="preserve"> </v>
      </c>
      <c r="S19" s="54" t="str">
        <f ca="1">IF(OR(D18=" ",D18="Complete the item")," ",IF(VLOOKUP(D19,Data!$A$32:$AH$56,IF(M19="Critical Success",7,IF(M19="Success",16,IF(M19="Failure",25,34))),)="X",S18+1,IF(VLOOKUP(D19,Data!$A$32:$AH$56,IF(M19="Critical Success",7,IF(M19="Success",16,IF(M19="Failure",25,34))),)="XX",S18+2,S18)))</f>
        <v xml:space="preserve"> </v>
      </c>
    </row>
    <row r="20" spans="1:19" x14ac:dyDescent="0.25">
      <c r="A20" s="54" t="str">
        <f t="shared" ca="1" si="4"/>
        <v xml:space="preserve"> </v>
      </c>
      <c r="B20" s="54" t="str">
        <f t="shared" ca="1" si="5"/>
        <v xml:space="preserve"> </v>
      </c>
      <c r="C20" s="54" t="str">
        <f ca="1">IF(OR(D19="Complete the item",D19=" ")," ",Data!A77)</f>
        <v xml:space="preserve"> </v>
      </c>
      <c r="D20" s="54" t="str">
        <f ca="1">IF(P19=" "," ",IF(A20&lt;P19,VLOOKUP(C20,Data!$A$2:$E$24,5),IF(OR(D19=" ",D19="Complete the item")," ","Complete the item")))</f>
        <v xml:space="preserve"> </v>
      </c>
      <c r="E20" s="54" t="str">
        <f ca="1">IF(D20=" "," ",VLOOKUP($D20,Tabelle6[[Challenges]:[Bester für Skill 2]],2))</f>
        <v xml:space="preserve"> </v>
      </c>
      <c r="F20" s="54" t="str">
        <f ca="1">IF(D20=" "," ",VLOOKUP($D20,'Challenge Liste'!$A$3:$F$27,2))</f>
        <v xml:space="preserve"> </v>
      </c>
      <c r="G20" s="54" t="str">
        <f ca="1">IF(D20=" "," ",VLOOKUP($D20,'Challenge Liste'!$A$3:$I$27,5))</f>
        <v xml:space="preserve"> </v>
      </c>
      <c r="H20" s="54" t="str">
        <f ca="1">IF(D20=" "," ",IF(E20=0,"-",HLOOKUP(E20,'Skill Liste'!$C$1:$H$29,LOOKUP(F20,'Skill Liste'!$B$2:$B$29,'Skill Liste'!$A$2:$A$29),FALSE)+Data!B78))</f>
        <v xml:space="preserve"> </v>
      </c>
      <c r="I20" s="54" t="str">
        <f ca="1">IF(D20=" "," ",VLOOKUP($D20,Tabelle6[[Challenges]:[Bester für Skill 2]],3))</f>
        <v xml:space="preserve"> </v>
      </c>
      <c r="J20" s="54" t="str">
        <f ca="1">IF(D20=" "," ",VLOOKUP($D20,'Challenge Liste'!$A$3:$F$27,6))</f>
        <v xml:space="preserve"> </v>
      </c>
      <c r="K20" s="54" t="str">
        <f ca="1">IF(D20=" "," ",VLOOKUP($D20,'Challenge Liste'!$A$3:$I$27,9))</f>
        <v xml:space="preserve"> </v>
      </c>
      <c r="L20" s="54" t="str">
        <f ca="1">IF(D20=" "," ",IF(I20=0,"-",HLOOKUP(I20,'Skill Liste'!$C$1:$H$29,LOOKUP(J20,'Skill Liste'!$B$2:$B$29,'Skill Liste'!$A$2:$A$29),FALSE)+Data!C78))</f>
        <v xml:space="preserve"> </v>
      </c>
      <c r="M20" s="54" t="str">
        <f t="shared" ca="1" si="3"/>
        <v xml:space="preserve"> </v>
      </c>
      <c r="N20" s="54" t="str">
        <f ca="1">IF(D20=" "," ",VLOOKUP(D20,Data!$A$32:$AH$56,IF(M20="Critical Success",2,IF(M20="Success",11,IF(M20="Failure",20,29))),))</f>
        <v xml:space="preserve"> </v>
      </c>
      <c r="O20" s="54" t="str">
        <f ca="1">IF(D20=" "," ",VLOOKUP(D20,Data!$A$32:$AH$56,IF(M20="Critical Success",3,IF(M20="Success",12,IF(M20="Failure",21,30))),)+O19)</f>
        <v xml:space="preserve"> </v>
      </c>
      <c r="P20" s="54" t="str">
        <f ca="1">IF(OR(D20=" ",D20="Complete the item")," ",VLOOKUP(D20,Data!$A$32:$AH$56,IF(M20="Critical Success",4,IF(M20="Success",13,IF(M20="Failure",22,31))),)+P19)</f>
        <v xml:space="preserve"> </v>
      </c>
      <c r="Q20" s="54" t="str">
        <f ca="1">IF(OR(D19=" ",D19="Complete the item")," ",IF(VLOOKUP(D20,Data!$A$32:$AH$56,IF(M20="Critical Success",5,IF(M20="Success",14,IF(M20="Failure",23,32))),)="X",Q19+1,IF(VLOOKUP(D20,Data!$A$32:$AH$56,IF(M20="Critical Success",5,IF(M20="Success",14,IF(M20="Failure",23,32))),)="XX",Q19+2,Q19)))</f>
        <v xml:space="preserve"> </v>
      </c>
      <c r="R20" s="54" t="str">
        <f ca="1">IF(OR(D19=" ",D19="Complete the item")," ",IF(VLOOKUP(D20,Data!$A$32:$AH$56,IF(M20="Critical Success",6,IF(M20="Success",15,IF(M20="Failure",24,33))),)="X",R19+1,IF(VLOOKUP(D20,Data!$A$32:$AH$56,IF(M20="Critical Success",6,IF(M20="Success",15,IF(M20="Failure",24,33))),)="XX",R19+2,R19)))</f>
        <v xml:space="preserve"> </v>
      </c>
      <c r="S20" s="54" t="str">
        <f ca="1">IF(OR(D19=" ",D19="Complete the item")," ",IF(VLOOKUP(D20,Data!$A$32:$AH$56,IF(M20="Critical Success",7,IF(M20="Success",16,IF(M20="Failure",25,34))),)="X",S19+1,IF(VLOOKUP(D20,Data!$A$32:$AH$56,IF(M20="Critical Success",7,IF(M20="Success",16,IF(M20="Failure",25,34))),)="XX",S19+2,S19)))</f>
        <v xml:space="preserve"> </v>
      </c>
    </row>
    <row r="21" spans="1:19" x14ac:dyDescent="0.25">
      <c r="A21" s="54" t="str">
        <f t="shared" ca="1" si="4"/>
        <v xml:space="preserve"> </v>
      </c>
      <c r="B21" s="54" t="str">
        <f t="shared" ca="1" si="5"/>
        <v xml:space="preserve"> </v>
      </c>
      <c r="C21" s="54" t="str">
        <f ca="1">IF(OR(D20="Complete the item",D20=" ")," ",Data!A78)</f>
        <v xml:space="preserve"> </v>
      </c>
      <c r="D21" s="54" t="str">
        <f ca="1">IF(P20=" "," ",IF(A21&lt;P20,VLOOKUP(C21,Data!$A$2:$E$24,5),IF(OR(D20=" ",D20="Complete the item")," ","Complete the item")))</f>
        <v xml:space="preserve"> </v>
      </c>
      <c r="E21" s="54" t="str">
        <f ca="1">IF(D21=" "," ",VLOOKUP($D21,Tabelle6[[Challenges]:[Bester für Skill 2]],2))</f>
        <v xml:space="preserve"> </v>
      </c>
      <c r="F21" s="54" t="str">
        <f ca="1">IF(D21=" "," ",VLOOKUP($D21,'Challenge Liste'!$A$3:$F$27,2))</f>
        <v xml:space="preserve"> </v>
      </c>
      <c r="G21" s="54" t="str">
        <f ca="1">IF(D21=" "," ",VLOOKUP($D21,'Challenge Liste'!$A$3:$I$27,5))</f>
        <v xml:space="preserve"> </v>
      </c>
      <c r="H21" s="54" t="str">
        <f ca="1">IF(D21=" "," ",IF(E21=0,"-",HLOOKUP(E21,'Skill Liste'!$C$1:$H$29,LOOKUP(F21,'Skill Liste'!$B$2:$B$29,'Skill Liste'!$A$2:$A$29),FALSE)+Data!B79))</f>
        <v xml:space="preserve"> </v>
      </c>
      <c r="I21" s="54" t="str">
        <f ca="1">IF(D21=" "," ",VLOOKUP($D21,Tabelle6[[Challenges]:[Bester für Skill 2]],3))</f>
        <v xml:space="preserve"> </v>
      </c>
      <c r="J21" s="54" t="str">
        <f ca="1">IF(D21=" "," ",VLOOKUP($D21,'Challenge Liste'!$A$3:$F$27,6))</f>
        <v xml:space="preserve"> </v>
      </c>
      <c r="K21" s="54" t="str">
        <f ca="1">IF(D21=" "," ",VLOOKUP($D21,'Challenge Liste'!$A$3:$I$27,9))</f>
        <v xml:space="preserve"> </v>
      </c>
      <c r="L21" s="54" t="str">
        <f ca="1">IF(D21=" "," ",IF(I21=0,"-",HLOOKUP(I21,'Skill Liste'!$C$1:$H$29,LOOKUP(J21,'Skill Liste'!$B$2:$B$29,'Skill Liste'!$A$2:$A$29),FALSE)+Data!C79))</f>
        <v xml:space="preserve"> </v>
      </c>
      <c r="M21" s="54" t="str">
        <f t="shared" ca="1" si="3"/>
        <v xml:space="preserve"> </v>
      </c>
      <c r="N21" s="54" t="str">
        <f ca="1">IF(D21=" "," ",VLOOKUP(D21,Data!$A$32:$AH$56,IF(M21="Critical Success",2,IF(M21="Success",11,IF(M21="Failure",20,29))),))</f>
        <v xml:space="preserve"> </v>
      </c>
      <c r="O21" s="54" t="str">
        <f ca="1">IF(D21=" "," ",VLOOKUP(D21,Data!$A$32:$AH$56,IF(M21="Critical Success",3,IF(M21="Success",12,IF(M21="Failure",21,30))),)+O20)</f>
        <v xml:space="preserve"> </v>
      </c>
      <c r="P21" s="54" t="str">
        <f ca="1">IF(OR(D21=" ",D21="Complete the item")," ",VLOOKUP(D21,Data!$A$32:$AH$56,IF(M21="Critical Success",4,IF(M21="Success",13,IF(M21="Failure",22,31))),)+P20)</f>
        <v xml:space="preserve"> </v>
      </c>
      <c r="Q21" s="54" t="str">
        <f ca="1">IF(OR(D20=" ",D20="Complete the item")," ",IF(VLOOKUP(D21,Data!$A$32:$AH$56,IF(M21="Critical Success",5,IF(M21="Success",14,IF(M21="Failure",23,32))),)="X",Q20+1,IF(VLOOKUP(D21,Data!$A$32:$AH$56,IF(M21="Critical Success",5,IF(M21="Success",14,IF(M21="Failure",23,32))),)="XX",Q20+2,Q20)))</f>
        <v xml:space="preserve"> </v>
      </c>
      <c r="R21" s="54" t="str">
        <f ca="1">IF(OR(D20=" ",D20="Complete the item")," ",IF(VLOOKUP(D21,Data!$A$32:$AH$56,IF(M21="Critical Success",6,IF(M21="Success",15,IF(M21="Failure",24,33))),)="X",R20+1,IF(VLOOKUP(D21,Data!$A$32:$AH$56,IF(M21="Critical Success",6,IF(M21="Success",15,IF(M21="Failure",24,33))),)="XX",R20+2,R20)))</f>
        <v xml:space="preserve"> </v>
      </c>
      <c r="S21" s="54" t="str">
        <f ca="1">IF(OR(D20=" ",D20="Complete the item")," ",IF(VLOOKUP(D21,Data!$A$32:$AH$56,IF(M21="Critical Success",7,IF(M21="Success",16,IF(M21="Failure",25,34))),)="X",S20+1,IF(VLOOKUP(D21,Data!$A$32:$AH$56,IF(M21="Critical Success",7,IF(M21="Success",16,IF(M21="Failure",25,34))),)="XX",S20+2,S20)))</f>
        <v xml:space="preserve"> </v>
      </c>
    </row>
    <row r="22" spans="1:19" x14ac:dyDescent="0.25">
      <c r="A22" s="54" t="str">
        <f t="shared" ca="1" si="4"/>
        <v xml:space="preserve"> </v>
      </c>
      <c r="B22" s="54" t="str">
        <f t="shared" ca="1" si="5"/>
        <v xml:space="preserve"> </v>
      </c>
      <c r="C22" s="54" t="str">
        <f ca="1">IF(OR(D21="Complete the item",D21=" ")," ",Data!A79)</f>
        <v xml:space="preserve"> </v>
      </c>
      <c r="D22" s="54" t="str">
        <f ca="1">IF(P21=" "," ",IF(A22&lt;P21,VLOOKUP(C22,Data!$A$2:$E$24,5),IF(OR(D21=" ",D21="Complete the item")," ","Complete the item")))</f>
        <v xml:space="preserve"> </v>
      </c>
      <c r="E22" s="54" t="str">
        <f ca="1">IF(D22=" "," ",VLOOKUP($D22,Tabelle6[[Challenges]:[Bester für Skill 2]],2))</f>
        <v xml:space="preserve"> </v>
      </c>
      <c r="F22" s="54" t="str">
        <f ca="1">IF(D22=" "," ",VLOOKUP($D22,'Challenge Liste'!$A$3:$F$27,2))</f>
        <v xml:space="preserve"> </v>
      </c>
      <c r="G22" s="54" t="str">
        <f ca="1">IF(D22=" "," ",VLOOKUP($D22,'Challenge Liste'!$A$3:$I$27,5))</f>
        <v xml:space="preserve"> </v>
      </c>
      <c r="H22" s="54" t="str">
        <f ca="1">IF(D22=" "," ",IF(E22=0,"-",HLOOKUP(E22,'Skill Liste'!$C$1:$H$29,LOOKUP(F22,'Skill Liste'!$B$2:$B$29,'Skill Liste'!$A$2:$A$29),FALSE)+Data!B80))</f>
        <v xml:space="preserve"> </v>
      </c>
      <c r="I22" s="54" t="str">
        <f ca="1">IF(D22=" "," ",VLOOKUP($D22,Tabelle6[[Challenges]:[Bester für Skill 2]],3))</f>
        <v xml:space="preserve"> </v>
      </c>
      <c r="J22" s="54" t="str">
        <f ca="1">IF(D22=" "," ",VLOOKUP($D22,'Challenge Liste'!$A$3:$F$27,6))</f>
        <v xml:space="preserve"> </v>
      </c>
      <c r="K22" s="54" t="str">
        <f ca="1">IF(D22=" "," ",VLOOKUP($D22,'Challenge Liste'!$A$3:$I$27,9))</f>
        <v xml:space="preserve"> </v>
      </c>
      <c r="L22" s="54" t="str">
        <f ca="1">IF(D22=" "," ",IF(I22=0,"-",HLOOKUP(I22,'Skill Liste'!$C$1:$H$29,LOOKUP(J22,'Skill Liste'!$B$2:$B$29,'Skill Liste'!$A$2:$A$29),FALSE)+Data!C80))</f>
        <v xml:space="preserve"> </v>
      </c>
      <c r="M22" s="54" t="str">
        <f t="shared" ca="1" si="3"/>
        <v xml:space="preserve"> </v>
      </c>
      <c r="N22" s="54" t="str">
        <f ca="1">IF(D22=" "," ",VLOOKUP(D22,Data!$A$32:$AH$56,IF(M22="Critical Success",2,IF(M22="Success",11,IF(M22="Failure",20,29))),))</f>
        <v xml:space="preserve"> </v>
      </c>
      <c r="O22" s="54" t="str">
        <f ca="1">IF(D22=" "," ",VLOOKUP(D22,Data!$A$32:$AH$56,IF(M22="Critical Success",3,IF(M22="Success",12,IF(M22="Failure",21,30))),)+O21)</f>
        <v xml:space="preserve"> </v>
      </c>
      <c r="P22" s="54" t="str">
        <f ca="1">IF(OR(D22=" ",D22="Complete the item")," ",VLOOKUP(D22,Data!$A$32:$AH$56,IF(M22="Critical Success",4,IF(M22="Success",13,IF(M22="Failure",22,31))),)+P21)</f>
        <v xml:space="preserve"> </v>
      </c>
      <c r="Q22" s="54" t="str">
        <f ca="1">IF(OR(D21=" ",D21="Complete the item")," ",IF(VLOOKUP(D22,Data!$A$32:$AH$56,IF(M22="Critical Success",5,IF(M22="Success",14,IF(M22="Failure",23,32))),)="X",Q21+1,IF(VLOOKUP(D22,Data!$A$32:$AH$56,IF(M22="Critical Success",5,IF(M22="Success",14,IF(M22="Failure",23,32))),)="XX",Q21+2,Q21)))</f>
        <v xml:space="preserve"> </v>
      </c>
      <c r="R22" s="54" t="str">
        <f ca="1">IF(OR(D21=" ",D21="Complete the item")," ",IF(VLOOKUP(D22,Data!$A$32:$AH$56,IF(M22="Critical Success",6,IF(M22="Success",15,IF(M22="Failure",24,33))),)="X",R21+1,IF(VLOOKUP(D22,Data!$A$32:$AH$56,IF(M22="Critical Success",6,IF(M22="Success",15,IF(M22="Failure",24,33))),)="XX",R21+2,R21)))</f>
        <v xml:space="preserve"> </v>
      </c>
      <c r="S22" s="54" t="str">
        <f ca="1">IF(OR(D21=" ",D21="Complete the item")," ",IF(VLOOKUP(D22,Data!$A$32:$AH$56,IF(M22="Critical Success",7,IF(M22="Success",16,IF(M22="Failure",25,34))),)="X",S21+1,IF(VLOOKUP(D22,Data!$A$32:$AH$56,IF(M22="Critical Success",7,IF(M22="Success",16,IF(M22="Failure",25,34))),)="XX",S21+2,S21)))</f>
        <v xml:space="preserve"> </v>
      </c>
    </row>
    <row r="23" spans="1:19" x14ac:dyDescent="0.25">
      <c r="A23" s="54" t="str">
        <f t="shared" ca="1" si="4"/>
        <v xml:space="preserve"> </v>
      </c>
      <c r="B23" s="54" t="str">
        <f t="shared" ca="1" si="5"/>
        <v xml:space="preserve"> </v>
      </c>
      <c r="C23" s="54" t="str">
        <f ca="1">IF(OR(D22="Complete the item",D22=" ")," ",Data!A80)</f>
        <v xml:space="preserve"> </v>
      </c>
      <c r="D23" s="54" t="str">
        <f ca="1">IF(P22=" "," ",IF(A23&lt;P22,VLOOKUP(C23,Data!$A$2:$E$24,5),IF(OR(D22=" ",D22="Complete the item")," ","Complete the item")))</f>
        <v xml:space="preserve"> </v>
      </c>
      <c r="E23" s="54" t="str">
        <f ca="1">IF(D23=" "," ",VLOOKUP($D23,Tabelle6[[Challenges]:[Bester für Skill 2]],2))</f>
        <v xml:space="preserve"> </v>
      </c>
      <c r="F23" s="54" t="str">
        <f ca="1">IF(D23=" "," ",VLOOKUP($D23,'Challenge Liste'!$A$3:$F$27,2))</f>
        <v xml:space="preserve"> </v>
      </c>
      <c r="G23" s="54" t="str">
        <f ca="1">IF(D23=" "," ",VLOOKUP($D23,'Challenge Liste'!$A$3:$I$27,5))</f>
        <v xml:space="preserve"> </v>
      </c>
      <c r="H23" s="54" t="str">
        <f ca="1">IF(D23=" "," ",IF(E23=0,"-",HLOOKUP(E23,'Skill Liste'!$C$1:$H$29,LOOKUP(F23,'Skill Liste'!$B$2:$B$29,'Skill Liste'!$A$2:$A$29),FALSE)+Data!B81))</f>
        <v xml:space="preserve"> </v>
      </c>
      <c r="I23" s="54" t="str">
        <f ca="1">IF(D23=" "," ",VLOOKUP($D23,Tabelle6[[Challenges]:[Bester für Skill 2]],3))</f>
        <v xml:space="preserve"> </v>
      </c>
      <c r="J23" s="54" t="str">
        <f ca="1">IF(D23=" "," ",VLOOKUP($D23,'Challenge Liste'!$A$3:$F$27,6))</f>
        <v xml:space="preserve"> </v>
      </c>
      <c r="K23" s="54" t="str">
        <f ca="1">IF(D23=" "," ",VLOOKUP($D23,'Challenge Liste'!$A$3:$I$27,9))</f>
        <v xml:space="preserve"> </v>
      </c>
      <c r="L23" s="54" t="str">
        <f ca="1">IF(D23=" "," ",IF(I23=0,"-",HLOOKUP(I23,'Skill Liste'!$C$1:$H$29,LOOKUP(J23,'Skill Liste'!$B$2:$B$29,'Skill Liste'!$A$2:$A$29),FALSE)+Data!C81))</f>
        <v xml:space="preserve"> </v>
      </c>
      <c r="M23" s="54" t="str">
        <f t="shared" ca="1" si="3"/>
        <v xml:space="preserve"> </v>
      </c>
      <c r="N23" s="54" t="str">
        <f ca="1">IF(D23=" "," ",VLOOKUP(D23,Data!$A$32:$AH$56,IF(M23="Critical Success",2,IF(M23="Success",11,IF(M23="Failure",20,29))),))</f>
        <v xml:space="preserve"> </v>
      </c>
      <c r="O23" s="54" t="str">
        <f ca="1">IF(D23=" "," ",VLOOKUP(D23,Data!$A$32:$AH$56,IF(M23="Critical Success",3,IF(M23="Success",12,IF(M23="Failure",21,30))),)+O22)</f>
        <v xml:space="preserve"> </v>
      </c>
      <c r="P23" s="54" t="str">
        <f ca="1">IF(OR(D23=" ",D23="Complete the item")," ",VLOOKUP(D23,Data!$A$32:$AH$56,IF(M23="Critical Success",4,IF(M23="Success",13,IF(M23="Failure",22,31))),)+P22)</f>
        <v xml:space="preserve"> </v>
      </c>
      <c r="Q23" s="54" t="str">
        <f ca="1">IF(OR(D22=" ",D22="Complete the item")," ",IF(VLOOKUP(D23,Data!$A$32:$AH$56,IF(M23="Critical Success",5,IF(M23="Success",14,IF(M23="Failure",23,32))),)="X",Q22+1,IF(VLOOKUP(D23,Data!$A$32:$AH$56,IF(M23="Critical Success",5,IF(M23="Success",14,IF(M23="Failure",23,32))),)="XX",Q22+2,Q22)))</f>
        <v xml:space="preserve"> </v>
      </c>
      <c r="R23" s="54" t="str">
        <f ca="1">IF(OR(D22=" ",D22="Complete the item")," ",IF(VLOOKUP(D23,Data!$A$32:$AH$56,IF(M23="Critical Success",6,IF(M23="Success",15,IF(M23="Failure",24,33))),)="X",R22+1,IF(VLOOKUP(D23,Data!$A$32:$AH$56,IF(M23="Critical Success",6,IF(M23="Success",15,IF(M23="Failure",24,33))),)="XX",R22+2,R22)))</f>
        <v xml:space="preserve"> </v>
      </c>
      <c r="S23" s="54" t="str">
        <f ca="1">IF(OR(D22=" ",D22="Complete the item")," ",IF(VLOOKUP(D23,Data!$A$32:$AH$56,IF(M23="Critical Success",7,IF(M23="Success",16,IF(M23="Failure",25,34))),)="X",S22+1,IF(VLOOKUP(D23,Data!$A$32:$AH$56,IF(M23="Critical Success",7,IF(M23="Success",16,IF(M23="Failure",25,34))),)="XX",S22+2,S22)))</f>
        <v xml:space="preserve"> </v>
      </c>
    </row>
    <row r="24" spans="1:19" x14ac:dyDescent="0.25">
      <c r="A24" s="54" t="str">
        <f t="shared" ca="1" si="4"/>
        <v xml:space="preserve"> </v>
      </c>
      <c r="B24" s="54" t="str">
        <f t="shared" ca="1" si="5"/>
        <v xml:space="preserve"> </v>
      </c>
      <c r="C24" s="54" t="str">
        <f ca="1">IF(OR(D23="Complete the item",D23=" ")," ",Data!A81)</f>
        <v xml:space="preserve"> </v>
      </c>
      <c r="D24" s="54" t="str">
        <f ca="1">IF(P23=" "," ",IF(A24&lt;P23,VLOOKUP(C24,Data!$A$2:$E$24,5),IF(OR(D23=" ",D23="Complete the item")," ","Complete the item")))</f>
        <v xml:space="preserve"> </v>
      </c>
      <c r="E24" s="54" t="str">
        <f ca="1">IF(D24=" "," ",VLOOKUP($D24,Tabelle6[[Challenges]:[Bester für Skill 2]],2))</f>
        <v xml:space="preserve"> </v>
      </c>
      <c r="F24" s="54" t="str">
        <f ca="1">IF(D24=" "," ",VLOOKUP($D24,'Challenge Liste'!$A$3:$F$27,2))</f>
        <v xml:space="preserve"> </v>
      </c>
      <c r="G24" s="54" t="str">
        <f ca="1">IF(D24=" "," ",VLOOKUP($D24,'Challenge Liste'!$A$3:$I$27,5))</f>
        <v xml:space="preserve"> </v>
      </c>
      <c r="H24" s="54" t="str">
        <f ca="1">IF(D24=" "," ",IF(E24=0,"-",HLOOKUP(E24,'Skill Liste'!$C$1:$H$29,LOOKUP(F24,'Skill Liste'!$B$2:$B$29,'Skill Liste'!$A$2:$A$29),FALSE)+Data!B82))</f>
        <v xml:space="preserve"> </v>
      </c>
      <c r="I24" s="54" t="str">
        <f ca="1">IF(D24=" "," ",VLOOKUP($D24,Tabelle6[[Challenges]:[Bester für Skill 2]],3))</f>
        <v xml:space="preserve"> </v>
      </c>
      <c r="J24" s="54" t="str">
        <f ca="1">IF(D24=" "," ",VLOOKUP($D24,'Challenge Liste'!$A$3:$F$27,6))</f>
        <v xml:space="preserve"> </v>
      </c>
      <c r="K24" s="54" t="str">
        <f ca="1">IF(D24=" "," ",VLOOKUP($D24,'Challenge Liste'!$A$3:$I$27,9))</f>
        <v xml:space="preserve"> </v>
      </c>
      <c r="L24" s="54" t="str">
        <f ca="1">IF(D24=" "," ",IF(I24=0,"-",HLOOKUP(I24,'Skill Liste'!$C$1:$H$29,LOOKUP(J24,'Skill Liste'!$B$2:$B$29,'Skill Liste'!$A$2:$A$29),FALSE)+Data!C82))</f>
        <v xml:space="preserve"> </v>
      </c>
      <c r="M24" s="54" t="str">
        <f t="shared" ca="1" si="3"/>
        <v xml:space="preserve"> </v>
      </c>
      <c r="N24" s="54" t="str">
        <f ca="1">IF(D24=" "," ",VLOOKUP(D24,Data!$A$32:$AH$56,IF(M24="Critical Success",2,IF(M24="Success",11,IF(M24="Failure",20,29))),))</f>
        <v xml:space="preserve"> </v>
      </c>
      <c r="O24" s="54" t="str">
        <f ca="1">IF(D24=" "," ",VLOOKUP(D24,Data!$A$32:$AH$56,IF(M24="Critical Success",3,IF(M24="Success",12,IF(M24="Failure",21,30))),)+O23)</f>
        <v xml:space="preserve"> </v>
      </c>
      <c r="P24" s="54" t="str">
        <f ca="1">IF(OR(D24=" ",D24="Complete the item")," ",VLOOKUP(D24,Data!$A$32:$AH$56,IF(M24="Critical Success",4,IF(M24="Success",13,IF(M24="Failure",22,31))),)+P23)</f>
        <v xml:space="preserve"> </v>
      </c>
      <c r="Q24" s="54" t="str">
        <f ca="1">IF(OR(D23=" ",D23="Complete the item")," ",IF(VLOOKUP(D24,Data!$A$32:$AH$56,IF(M24="Critical Success",5,IF(M24="Success",14,IF(M24="Failure",23,32))),)="X",Q23+1,IF(VLOOKUP(D24,Data!$A$32:$AH$56,IF(M24="Critical Success",5,IF(M24="Success",14,IF(M24="Failure",23,32))),)="XX",Q23+2,Q23)))</f>
        <v xml:space="preserve"> </v>
      </c>
      <c r="R24" s="54" t="str">
        <f ca="1">IF(OR(D23=" ",D23="Complete the item")," ",IF(VLOOKUP(D24,Data!$A$32:$AH$56,IF(M24="Critical Success",6,IF(M24="Success",15,IF(M24="Failure",24,33))),)="X",R23+1,IF(VLOOKUP(D24,Data!$A$32:$AH$56,IF(M24="Critical Success",6,IF(M24="Success",15,IF(M24="Failure",24,33))),)="XX",R23+2,R23)))</f>
        <v xml:space="preserve"> </v>
      </c>
      <c r="S24" s="54" t="str">
        <f ca="1">IF(OR(D23=" ",D23="Complete the item")," ",IF(VLOOKUP(D24,Data!$A$32:$AH$56,IF(M24="Critical Success",7,IF(M24="Success",16,IF(M24="Failure",25,34))),)="X",S23+1,IF(VLOOKUP(D24,Data!$A$32:$AH$56,IF(M24="Critical Success",7,IF(M24="Success",16,IF(M24="Failure",25,34))),)="XX",S23+2,S23)))</f>
        <v xml:space="preserve"> </v>
      </c>
    </row>
    <row r="25" spans="1:19" x14ac:dyDescent="0.25">
      <c r="A25" s="54" t="str">
        <f t="shared" ca="1" si="4"/>
        <v xml:space="preserve"> </v>
      </c>
      <c r="B25" s="54" t="str">
        <f t="shared" ca="1" si="5"/>
        <v xml:space="preserve"> </v>
      </c>
      <c r="C25" s="54" t="str">
        <f ca="1">IF(OR(D24="Complete the item",D24=" ")," ",Data!A82)</f>
        <v xml:space="preserve"> </v>
      </c>
      <c r="D25" s="54" t="str">
        <f ca="1">IF(P24=" "," ",IF(A25&lt;P24,VLOOKUP(C25,Data!$A$2:$E$24,5),IF(OR(D24=" ",D24="Complete the item")," ","Complete the item")))</f>
        <v xml:space="preserve"> </v>
      </c>
      <c r="E25" s="54" t="str">
        <f ca="1">IF(D25=" "," ",VLOOKUP($D25,Tabelle6[[Challenges]:[Bester für Skill 2]],2))</f>
        <v xml:space="preserve"> </v>
      </c>
      <c r="F25" s="54" t="str">
        <f ca="1">IF(D25=" "," ",VLOOKUP($D25,'Challenge Liste'!$A$3:$F$27,2))</f>
        <v xml:space="preserve"> </v>
      </c>
      <c r="G25" s="54" t="str">
        <f ca="1">IF(D25=" "," ",VLOOKUP($D25,'Challenge Liste'!$A$3:$I$27,5))</f>
        <v xml:space="preserve"> </v>
      </c>
      <c r="H25" s="54" t="str">
        <f ca="1">IF(D25=" "," ",IF(E25=0,"-",HLOOKUP(E25,'Skill Liste'!$C$1:$H$29,LOOKUP(F25,'Skill Liste'!$B$2:$B$29,'Skill Liste'!$A$2:$A$29),FALSE)+Data!B83))</f>
        <v xml:space="preserve"> </v>
      </c>
      <c r="I25" s="54" t="str">
        <f ca="1">IF(D25=" "," ",VLOOKUP($D25,Tabelle6[[Challenges]:[Bester für Skill 2]],3))</f>
        <v xml:space="preserve"> </v>
      </c>
      <c r="J25" s="54" t="str">
        <f ca="1">IF(D25=" "," ",VLOOKUP($D25,'Challenge Liste'!$A$3:$F$27,6))</f>
        <v xml:space="preserve"> </v>
      </c>
      <c r="K25" s="54" t="str">
        <f ca="1">IF(D25=" "," ",VLOOKUP($D25,'Challenge Liste'!$A$3:$I$27,9))</f>
        <v xml:space="preserve"> </v>
      </c>
      <c r="L25" s="54" t="str">
        <f ca="1">IF(D25=" "," ",IF(I25=0,"-",HLOOKUP(I25,'Skill Liste'!$C$1:$H$29,LOOKUP(J25,'Skill Liste'!$B$2:$B$29,'Skill Liste'!$A$2:$A$29),FALSE)+Data!C83))</f>
        <v xml:space="preserve"> </v>
      </c>
      <c r="M25" s="54" t="str">
        <f t="shared" ca="1" si="3"/>
        <v xml:space="preserve"> </v>
      </c>
      <c r="N25" s="54" t="str">
        <f ca="1">IF(D25=" "," ",VLOOKUP(D25,Data!$A$32:$AH$56,IF(M25="Critical Success",2,IF(M25="Success",11,IF(M25="Failure",20,29))),))</f>
        <v xml:space="preserve"> </v>
      </c>
      <c r="O25" s="54" t="str">
        <f ca="1">IF(D25=" "," ",VLOOKUP(D25,Data!$A$32:$AH$56,IF(M25="Critical Success",3,IF(M25="Success",12,IF(M25="Failure",21,30))),)+O24)</f>
        <v xml:space="preserve"> </v>
      </c>
      <c r="P25" s="54" t="str">
        <f ca="1">IF(OR(D25=" ",D25="Complete the item")," ",VLOOKUP(D25,Data!$A$32:$AH$56,IF(M25="Critical Success",4,IF(M25="Success",13,IF(M25="Failure",22,31))),)+P24)</f>
        <v xml:space="preserve"> </v>
      </c>
      <c r="Q25" s="54" t="str">
        <f ca="1">IF(OR(D24=" ",D24="Complete the item")," ",IF(VLOOKUP(D25,Data!$A$32:$AH$56,IF(M25="Critical Success",5,IF(M25="Success",14,IF(M25="Failure",23,32))),)="X",Q24+1,IF(VLOOKUP(D25,Data!$A$32:$AH$56,IF(M25="Critical Success",5,IF(M25="Success",14,IF(M25="Failure",23,32))),)="XX",Q24+2,Q24)))</f>
        <v xml:space="preserve"> </v>
      </c>
      <c r="R25" s="54" t="str">
        <f ca="1">IF(OR(D24=" ",D24="Complete the item")," ",IF(VLOOKUP(D25,Data!$A$32:$AH$56,IF(M25="Critical Success",6,IF(M25="Success",15,IF(M25="Failure",24,33))),)="X",R24+1,IF(VLOOKUP(D25,Data!$A$32:$AH$56,IF(M25="Critical Success",6,IF(M25="Success",15,IF(M25="Failure",24,33))),)="XX",R24+2,R24)))</f>
        <v xml:space="preserve"> </v>
      </c>
      <c r="S25" s="54" t="str">
        <f ca="1">IF(OR(D24=" ",D24="Complete the item")," ",IF(VLOOKUP(D25,Data!$A$32:$AH$56,IF(M25="Critical Success",7,IF(M25="Success",16,IF(M25="Failure",25,34))),)="X",S24+1,IF(VLOOKUP(D25,Data!$A$32:$AH$56,IF(M25="Critical Success",7,IF(M25="Success",16,IF(M25="Failure",25,34))),)="XX",S24+2,S24)))</f>
        <v xml:space="preserve"> </v>
      </c>
    </row>
    <row r="26" spans="1:19" x14ac:dyDescent="0.25">
      <c r="A26" s="54" t="str">
        <f t="shared" ca="1" si="4"/>
        <v xml:space="preserve"> </v>
      </c>
      <c r="B26" s="54" t="str">
        <f t="shared" ca="1" si="5"/>
        <v xml:space="preserve"> </v>
      </c>
      <c r="C26" s="54" t="str">
        <f ca="1">IF(OR(D25="Complete the item",D25=" ")," ",Data!A83)</f>
        <v xml:space="preserve"> </v>
      </c>
      <c r="D26" s="54" t="str">
        <f ca="1">IF(P25=" "," ",IF(A26&lt;P25,VLOOKUP(C26,Data!$A$2:$E$24,5),IF(OR(D25=" ",D25="Complete the item")," ","Complete the item")))</f>
        <v xml:space="preserve"> </v>
      </c>
      <c r="E26" s="54" t="str">
        <f ca="1">IF(D26=" "," ",VLOOKUP($D26,Tabelle6[[Challenges]:[Bester für Skill 2]],2))</f>
        <v xml:space="preserve"> </v>
      </c>
      <c r="F26" s="54" t="str">
        <f ca="1">IF(D26=" "," ",VLOOKUP($D26,'Challenge Liste'!$A$3:$F$27,2))</f>
        <v xml:space="preserve"> </v>
      </c>
      <c r="G26" s="54" t="str">
        <f ca="1">IF(D26=" "," ",VLOOKUP($D26,'Challenge Liste'!$A$3:$I$27,5))</f>
        <v xml:space="preserve"> </v>
      </c>
      <c r="H26" s="54" t="str">
        <f ca="1">IF(D26=" "," ",IF(E26=0,"-",HLOOKUP(E26,'Skill Liste'!$C$1:$H$29,LOOKUP(F26,'Skill Liste'!$B$2:$B$29,'Skill Liste'!$A$2:$A$29),FALSE)+Data!B84))</f>
        <v xml:space="preserve"> </v>
      </c>
      <c r="I26" s="54" t="str">
        <f ca="1">IF(D26=" "," ",VLOOKUP($D26,Tabelle6[[Challenges]:[Bester für Skill 2]],3))</f>
        <v xml:space="preserve"> </v>
      </c>
      <c r="J26" s="54" t="str">
        <f ca="1">IF(D26=" "," ",VLOOKUP($D26,'Challenge Liste'!$A$3:$F$27,6))</f>
        <v xml:space="preserve"> </v>
      </c>
      <c r="K26" s="54" t="str">
        <f ca="1">IF(D26=" "," ",VLOOKUP($D26,'Challenge Liste'!$A$3:$I$27,9))</f>
        <v xml:space="preserve"> </v>
      </c>
      <c r="L26" s="54" t="str">
        <f ca="1">IF(D26=" "," ",IF(I26=0,"-",HLOOKUP(I26,'Skill Liste'!$C$1:$H$29,LOOKUP(J26,'Skill Liste'!$B$2:$B$29,'Skill Liste'!$A$2:$A$29),FALSE)+Data!C84))</f>
        <v xml:space="preserve"> </v>
      </c>
      <c r="M26" s="54" t="str">
        <f t="shared" ca="1" si="3"/>
        <v xml:space="preserve"> </v>
      </c>
      <c r="N26" s="54" t="str">
        <f ca="1">IF(D26=" "," ",VLOOKUP(D26,Data!$A$32:$AH$56,IF(M26="Critical Success",2,IF(M26="Success",11,IF(M26="Failure",20,29))),))</f>
        <v xml:space="preserve"> </v>
      </c>
      <c r="O26" s="54" t="str">
        <f ca="1">IF(D26=" "," ",VLOOKUP(D26,Data!$A$32:$AH$56,IF(M26="Critical Success",3,IF(M26="Success",12,IF(M26="Failure",21,30))),)+O25)</f>
        <v xml:space="preserve"> </v>
      </c>
      <c r="P26" s="54" t="str">
        <f ca="1">IF(OR(D26=" ",D26="Complete the item")," ",VLOOKUP(D26,Data!$A$32:$AH$56,IF(M26="Critical Success",4,IF(M26="Success",13,IF(M26="Failure",22,31))),)+P25)</f>
        <v xml:space="preserve"> </v>
      </c>
      <c r="Q26" s="54" t="str">
        <f ca="1">IF(OR(D25=" ",D25="Complete the item")," ",IF(VLOOKUP(D26,Data!$A$32:$AH$56,IF(M26="Critical Success",5,IF(M26="Success",14,IF(M26="Failure",23,32))),)="X",Q25+1,IF(VLOOKUP(D26,Data!$A$32:$AH$56,IF(M26="Critical Success",5,IF(M26="Success",14,IF(M26="Failure",23,32))),)="XX",Q25+2,Q25)))</f>
        <v xml:space="preserve"> </v>
      </c>
      <c r="R26" s="54" t="str">
        <f ca="1">IF(OR(D25=" ",D25="Complete the item")," ",IF(VLOOKUP(D26,Data!$A$32:$AH$56,IF(M26="Critical Success",6,IF(M26="Success",15,IF(M26="Failure",24,33))),)="X",R25+1,IF(VLOOKUP(D26,Data!$A$32:$AH$56,IF(M26="Critical Success",6,IF(M26="Success",15,IF(M26="Failure",24,33))),)="XX",R25+2,R25)))</f>
        <v xml:space="preserve"> </v>
      </c>
      <c r="S26" s="54" t="str">
        <f ca="1">IF(OR(D25=" ",D25="Complete the item")," ",IF(VLOOKUP(D26,Data!$A$32:$AH$56,IF(M26="Critical Success",7,IF(M26="Success",16,IF(M26="Failure",25,34))),)="X",S25+1,IF(VLOOKUP(D26,Data!$A$32:$AH$56,IF(M26="Critical Success",7,IF(M26="Success",16,IF(M26="Failure",25,34))),)="XX",S25+2,S25)))</f>
        <v xml:space="preserve"> </v>
      </c>
    </row>
    <row r="27" spans="1:19" x14ac:dyDescent="0.25">
      <c r="A27" s="54" t="str">
        <f t="shared" ca="1" si="4"/>
        <v xml:space="preserve"> </v>
      </c>
      <c r="B27" s="54" t="str">
        <f t="shared" ca="1" si="5"/>
        <v xml:space="preserve"> </v>
      </c>
      <c r="C27" s="54" t="str">
        <f ca="1">IF(OR(D26="Complete the item",D26=" ")," ",Data!A84)</f>
        <v xml:space="preserve"> </v>
      </c>
      <c r="D27" s="54" t="str">
        <f ca="1">IF(P26=" "," ",IF(A27&lt;P26,VLOOKUP(C27,Data!$A$2:$E$24,5),IF(OR(D26=" ",D26="Complete the item")," ","Complete the item")))</f>
        <v xml:space="preserve"> </v>
      </c>
      <c r="E27" s="54" t="str">
        <f ca="1">IF(D27=" "," ",VLOOKUP($D27,Tabelle6[[Challenges]:[Bester für Skill 2]],2))</f>
        <v xml:space="preserve"> </v>
      </c>
      <c r="F27" s="54" t="str">
        <f ca="1">IF(D27=" "," ",VLOOKUP($D27,'Challenge Liste'!$A$3:$F$27,2))</f>
        <v xml:space="preserve"> </v>
      </c>
      <c r="G27" s="54" t="str">
        <f ca="1">IF(D27=" "," ",VLOOKUP($D27,'Challenge Liste'!$A$3:$I$27,5))</f>
        <v xml:space="preserve"> </v>
      </c>
      <c r="H27" s="54" t="str">
        <f ca="1">IF(D27=" "," ",IF(E27=0,"-",HLOOKUP(E27,'Skill Liste'!$C$1:$H$29,LOOKUP(F27,'Skill Liste'!$B$2:$B$29,'Skill Liste'!$A$2:$A$29),FALSE)+Data!B85))</f>
        <v xml:space="preserve"> </v>
      </c>
      <c r="I27" s="54" t="str">
        <f ca="1">IF(D27=" "," ",VLOOKUP($D27,Tabelle6[[Challenges]:[Bester für Skill 2]],3))</f>
        <v xml:space="preserve"> </v>
      </c>
      <c r="J27" s="54" t="str">
        <f ca="1">IF(D27=" "," ",VLOOKUP($D27,'Challenge Liste'!$A$3:$F$27,6))</f>
        <v xml:space="preserve"> </v>
      </c>
      <c r="K27" s="54" t="str">
        <f ca="1">IF(D27=" "," ",VLOOKUP($D27,'Challenge Liste'!$A$3:$I$27,9))</f>
        <v xml:space="preserve"> </v>
      </c>
      <c r="L27" s="54" t="str">
        <f ca="1">IF(D27=" "," ",IF(I27=0,"-",HLOOKUP(I27,'Skill Liste'!$C$1:$H$29,LOOKUP(J27,'Skill Liste'!$B$2:$B$29,'Skill Liste'!$A$2:$A$29),FALSE)+Data!C85))</f>
        <v xml:space="preserve"> </v>
      </c>
      <c r="M27" s="54" t="str">
        <f t="shared" ca="1" si="3"/>
        <v xml:space="preserve"> </v>
      </c>
      <c r="N27" s="54" t="str">
        <f ca="1">IF(D27=" "," ",VLOOKUP(D27,Data!$A$32:$AH$56,IF(M27="Critical Success",2,IF(M27="Success",11,IF(M27="Failure",20,29))),))</f>
        <v xml:space="preserve"> </v>
      </c>
      <c r="O27" s="54" t="str">
        <f ca="1">IF(D27=" "," ",VLOOKUP(D27,Data!$A$32:$AH$56,IF(M27="Critical Success",3,IF(M27="Success",12,IF(M27="Failure",21,30))),)+O26)</f>
        <v xml:space="preserve"> </v>
      </c>
      <c r="P27" s="54" t="str">
        <f ca="1">IF(OR(D27=" ",D27="Complete the item")," ",VLOOKUP(D27,Data!$A$32:$AH$56,IF(M27="Critical Success",4,IF(M27="Success",13,IF(M27="Failure",22,31))),)+P26)</f>
        <v xml:space="preserve"> </v>
      </c>
      <c r="Q27" s="54" t="str">
        <f ca="1">IF(OR(D26=" ",D26="Complete the item")," ",IF(VLOOKUP(D27,Data!$A$32:$AH$56,IF(M27="Critical Success",5,IF(M27="Success",14,IF(M27="Failure",23,32))),)="X",Q26+1,IF(VLOOKUP(D27,Data!$A$32:$AH$56,IF(M27="Critical Success",5,IF(M27="Success",14,IF(M27="Failure",23,32))),)="XX",Q26+2,Q26)))</f>
        <v xml:space="preserve"> </v>
      </c>
      <c r="R27" s="54" t="str">
        <f ca="1">IF(OR(D26=" ",D26="Complete the item")," ",IF(VLOOKUP(D27,Data!$A$32:$AH$56,IF(M27="Critical Success",6,IF(M27="Success",15,IF(M27="Failure",24,33))),)="X",R26+1,IF(VLOOKUP(D27,Data!$A$32:$AH$56,IF(M27="Critical Success",6,IF(M27="Success",15,IF(M27="Failure",24,33))),)="XX",R26+2,R26)))</f>
        <v xml:space="preserve"> </v>
      </c>
      <c r="S27" s="54" t="str">
        <f ca="1">IF(OR(D26=" ",D26="Complete the item")," ",IF(VLOOKUP(D27,Data!$A$32:$AH$56,IF(M27="Critical Success",7,IF(M27="Success",16,IF(M27="Failure",25,34))),)="X",S26+1,IF(VLOOKUP(D27,Data!$A$32:$AH$56,IF(M27="Critical Success",7,IF(M27="Success",16,IF(M27="Failure",25,34))),)="XX",S26+2,S26)))</f>
        <v xml:space="preserve"> </v>
      </c>
    </row>
    <row r="28" spans="1:19" x14ac:dyDescent="0.25">
      <c r="A28" s="54" t="str">
        <f t="shared" ca="1" si="4"/>
        <v xml:space="preserve"> </v>
      </c>
      <c r="B28" s="54" t="str">
        <f t="shared" ca="1" si="5"/>
        <v xml:space="preserve"> </v>
      </c>
      <c r="C28" s="54" t="str">
        <f ca="1">IF(OR(D27="Complete the item",D27=" ")," ",Data!A85)</f>
        <v xml:space="preserve"> </v>
      </c>
      <c r="D28" s="54" t="str">
        <f ca="1">IF(P27=" "," ",IF(A28&lt;P27,VLOOKUP(C28,Data!$A$2:$E$24,5),IF(OR(D27=" ",D27="Complete the item")," ","Complete the item")))</f>
        <v xml:space="preserve"> </v>
      </c>
      <c r="E28" s="54" t="str">
        <f ca="1">IF(D28=" "," ",VLOOKUP($D28,Tabelle6[[Challenges]:[Bester für Skill 2]],2))</f>
        <v xml:space="preserve"> </v>
      </c>
      <c r="F28" s="54" t="str">
        <f ca="1">IF(D28=" "," ",VLOOKUP($D28,'Challenge Liste'!$A$3:$F$27,2))</f>
        <v xml:space="preserve"> </v>
      </c>
      <c r="G28" s="54" t="str">
        <f ca="1">IF(D28=" "," ",VLOOKUP($D28,'Challenge Liste'!$A$3:$I$27,5))</f>
        <v xml:space="preserve"> </v>
      </c>
      <c r="H28" s="54" t="str">
        <f ca="1">IF(D28=" "," ",IF(E28=0,"-",HLOOKUP(E28,'Skill Liste'!$C$1:$H$29,LOOKUP(F28,'Skill Liste'!$B$2:$B$29,'Skill Liste'!$A$2:$A$29),FALSE)+Data!B86))</f>
        <v xml:space="preserve"> </v>
      </c>
      <c r="I28" s="54" t="str">
        <f ca="1">IF(D28=" "," ",VLOOKUP($D28,Tabelle6[[Challenges]:[Bester für Skill 2]],3))</f>
        <v xml:space="preserve"> </v>
      </c>
      <c r="J28" s="54" t="str">
        <f ca="1">IF(D28=" "," ",VLOOKUP($D28,'Challenge Liste'!$A$3:$F$27,6))</f>
        <v xml:space="preserve"> </v>
      </c>
      <c r="K28" s="54" t="str">
        <f ca="1">IF(D28=" "," ",VLOOKUP($D28,'Challenge Liste'!$A$3:$I$27,9))</f>
        <v xml:space="preserve"> </v>
      </c>
      <c r="L28" s="54" t="str">
        <f ca="1">IF(D28=" "," ",IF(I28=0,"-",HLOOKUP(I28,'Skill Liste'!$C$1:$H$29,LOOKUP(J28,'Skill Liste'!$B$2:$B$29,'Skill Liste'!$A$2:$A$29),FALSE)+Data!C86))</f>
        <v xml:space="preserve"> </v>
      </c>
      <c r="M28" s="54" t="str">
        <f t="shared" ca="1" si="3"/>
        <v xml:space="preserve"> </v>
      </c>
      <c r="N28" s="54" t="str">
        <f ca="1">IF(D28=" "," ",VLOOKUP(D28,Data!$A$32:$AH$56,IF(M28="Critical Success",2,IF(M28="Success",11,IF(M28="Failure",20,29))),))</f>
        <v xml:space="preserve"> </v>
      </c>
      <c r="O28" s="54" t="str">
        <f ca="1">IF(D28=" "," ",VLOOKUP(D28,Data!$A$32:$AH$56,IF(M28="Critical Success",3,IF(M28="Success",12,IF(M28="Failure",21,30))),)+O27)</f>
        <v xml:space="preserve"> </v>
      </c>
      <c r="P28" s="54" t="str">
        <f ca="1">IF(OR(D28=" ",D28="Complete the item")," ",VLOOKUP(D28,Data!$A$32:$AH$56,IF(M28="Critical Success",4,IF(M28="Success",13,IF(M28="Failure",22,31))),)+P27)</f>
        <v xml:space="preserve"> </v>
      </c>
      <c r="Q28" s="54" t="str">
        <f ca="1">IF(OR(D27=" ",D27="Complete the item")," ",IF(VLOOKUP(D28,Data!$A$32:$AH$56,IF(M28="Critical Success",5,IF(M28="Success",14,IF(M28="Failure",23,32))),)="X",Q27+1,IF(VLOOKUP(D28,Data!$A$32:$AH$56,IF(M28="Critical Success",5,IF(M28="Success",14,IF(M28="Failure",23,32))),)="XX",Q27+2,Q27)))</f>
        <v xml:space="preserve"> </v>
      </c>
      <c r="R28" s="54" t="str">
        <f ca="1">IF(OR(D27=" ",D27="Complete the item")," ",IF(VLOOKUP(D28,Data!$A$32:$AH$56,IF(M28="Critical Success",6,IF(M28="Success",15,IF(M28="Failure",24,33))),)="X",R27+1,IF(VLOOKUP(D28,Data!$A$32:$AH$56,IF(M28="Critical Success",6,IF(M28="Success",15,IF(M28="Failure",24,33))),)="XX",R27+2,R27)))</f>
        <v xml:space="preserve"> </v>
      </c>
      <c r="S28" s="54" t="str">
        <f ca="1">IF(OR(D27=" ",D27="Complete the item")," ",IF(VLOOKUP(D28,Data!$A$32:$AH$56,IF(M28="Critical Success",7,IF(M28="Success",16,IF(M28="Failure",25,34))),)="X",S27+1,IF(VLOOKUP(D28,Data!$A$32:$AH$56,IF(M28="Critical Success",7,IF(M28="Success",16,IF(M28="Failure",25,34))),)="XX",S27+2,S27)))</f>
        <v xml:space="preserve"> </v>
      </c>
    </row>
    <row r="29" spans="1:19" x14ac:dyDescent="0.25">
      <c r="A29" s="54" t="str">
        <f t="shared" ca="1" si="4"/>
        <v xml:space="preserve"> </v>
      </c>
      <c r="B29" s="54" t="str">
        <f t="shared" ca="1" si="5"/>
        <v xml:space="preserve"> </v>
      </c>
      <c r="C29" s="54" t="str">
        <f ca="1">IF(OR(D28="Complete the item",D28=" ")," ",Data!A86)</f>
        <v xml:space="preserve"> </v>
      </c>
      <c r="D29" s="54" t="str">
        <f ca="1">IF(P28=" "," ",IF(A29&lt;P28,VLOOKUP(C29,Data!$A$2:$E$24,5),IF(OR(D28=" ",D28="Complete the item")," ","Complete the item")))</f>
        <v xml:space="preserve"> </v>
      </c>
      <c r="E29" s="54" t="str">
        <f ca="1">IF(D29=" "," ",VLOOKUP($D29,Tabelle6[[Challenges]:[Bester für Skill 2]],2))</f>
        <v xml:space="preserve"> </v>
      </c>
      <c r="F29" s="54" t="str">
        <f ca="1">IF(D29=" "," ",VLOOKUP($D29,'Challenge Liste'!$A$3:$F$27,2))</f>
        <v xml:space="preserve"> </v>
      </c>
      <c r="G29" s="54" t="str">
        <f ca="1">IF(D29=" "," ",VLOOKUP($D29,'Challenge Liste'!$A$3:$I$27,5))</f>
        <v xml:space="preserve"> </v>
      </c>
      <c r="H29" s="54" t="str">
        <f ca="1">IF(D29=" "," ",IF(E29=0,"-",HLOOKUP(E29,'Skill Liste'!$C$1:$H$29,LOOKUP(F29,'Skill Liste'!$B$2:$B$29,'Skill Liste'!$A$2:$A$29),FALSE)+Data!B87))</f>
        <v xml:space="preserve"> </v>
      </c>
      <c r="I29" s="54" t="str">
        <f ca="1">IF(D29=" "," ",VLOOKUP($D29,Tabelle6[[Challenges]:[Bester für Skill 2]],3))</f>
        <v xml:space="preserve"> </v>
      </c>
      <c r="J29" s="54" t="str">
        <f ca="1">IF(D29=" "," ",VLOOKUP($D29,'Challenge Liste'!$A$3:$F$27,6))</f>
        <v xml:space="preserve"> </v>
      </c>
      <c r="K29" s="54" t="str">
        <f ca="1">IF(D29=" "," ",VLOOKUP($D29,'Challenge Liste'!$A$3:$I$27,9))</f>
        <v xml:space="preserve"> </v>
      </c>
      <c r="L29" s="54" t="str">
        <f ca="1">IF(D29=" "," ",IF(I29=0,"-",HLOOKUP(I29,'Skill Liste'!$C$1:$H$29,LOOKUP(J29,'Skill Liste'!$B$2:$B$29,'Skill Liste'!$A$2:$A$29),FALSE)+Data!C87))</f>
        <v xml:space="preserve"> </v>
      </c>
      <c r="M29" s="54" t="str">
        <f t="shared" ca="1" si="3"/>
        <v xml:space="preserve"> </v>
      </c>
      <c r="N29" s="54" t="str">
        <f ca="1">IF(D29=" "," ",VLOOKUP(D29,Data!$A$32:$AH$56,IF(M29="Critical Success",2,IF(M29="Success",11,IF(M29="Failure",20,29))),))</f>
        <v xml:space="preserve"> </v>
      </c>
      <c r="O29" s="54" t="str">
        <f ca="1">IF(D29=" "," ",VLOOKUP(D29,Data!$A$32:$AH$56,IF(M29="Critical Success",3,IF(M29="Success",12,IF(M29="Failure",21,30))),)+O28)</f>
        <v xml:space="preserve"> </v>
      </c>
      <c r="P29" s="54" t="str">
        <f ca="1">IF(OR(D29=" ",D29="Complete the item")," ",VLOOKUP(D29,Data!$A$32:$AH$56,IF(M29="Critical Success",4,IF(M29="Success",13,IF(M29="Failure",22,31))),)+P28)</f>
        <v xml:space="preserve"> </v>
      </c>
      <c r="Q29" s="54" t="str">
        <f ca="1">IF(OR(D28=" ",D28="Complete the item")," ",IF(VLOOKUP(D29,Data!$A$32:$AH$56,IF(M29="Critical Success",5,IF(M29="Success",14,IF(M29="Failure",23,32))),)="X",Q28+1,IF(VLOOKUP(D29,Data!$A$32:$AH$56,IF(M29="Critical Success",5,IF(M29="Success",14,IF(M29="Failure",23,32))),)="XX",Q28+2,Q28)))</f>
        <v xml:space="preserve"> </v>
      </c>
      <c r="R29" s="54" t="str">
        <f ca="1">IF(OR(D28=" ",D28="Complete the item")," ",IF(VLOOKUP(D29,Data!$A$32:$AH$56,IF(M29="Critical Success",6,IF(M29="Success",15,IF(M29="Failure",24,33))),)="X",R28+1,IF(VLOOKUP(D29,Data!$A$32:$AH$56,IF(M29="Critical Success",6,IF(M29="Success",15,IF(M29="Failure",24,33))),)="XX",R28+2,R28)))</f>
        <v xml:space="preserve"> </v>
      </c>
      <c r="S29" s="54" t="str">
        <f ca="1">IF(OR(D28=" ",D28="Complete the item")," ",IF(VLOOKUP(D29,Data!$A$32:$AH$56,IF(M29="Critical Success",7,IF(M29="Success",16,IF(M29="Failure",25,34))),)="X",S28+1,IF(VLOOKUP(D29,Data!$A$32:$AH$56,IF(M29="Critical Success",7,IF(M29="Success",16,IF(M29="Failure",25,34))),)="XX",S28+2,S28)))</f>
        <v xml:space="preserve"> </v>
      </c>
    </row>
    <row r="30" spans="1:19" x14ac:dyDescent="0.25">
      <c r="A30" s="54" t="str">
        <f t="shared" ca="1" si="4"/>
        <v xml:space="preserve"> </v>
      </c>
      <c r="B30" s="54" t="str">
        <f t="shared" ca="1" si="5"/>
        <v xml:space="preserve"> </v>
      </c>
      <c r="C30" s="54" t="str">
        <f ca="1">IF(OR(D29="Complete the item",D29=" ")," ",Data!A87)</f>
        <v xml:space="preserve"> </v>
      </c>
      <c r="D30" s="54" t="str">
        <f ca="1">IF(P29=" "," ",IF(A30&lt;P29,VLOOKUP(C30,Data!$A$2:$E$24,5),IF(OR(D29=" ",D29="Complete the item")," ","Complete the item")))</f>
        <v xml:space="preserve"> </v>
      </c>
      <c r="E30" s="54" t="str">
        <f ca="1">IF(D30=" "," ",VLOOKUP($D30,Tabelle6[[Challenges]:[Bester für Skill 2]],2))</f>
        <v xml:space="preserve"> </v>
      </c>
      <c r="F30" s="54" t="str">
        <f ca="1">IF(D30=" "," ",VLOOKUP($D30,'Challenge Liste'!$A$3:$F$27,2))</f>
        <v xml:space="preserve"> </v>
      </c>
      <c r="G30" s="54" t="str">
        <f ca="1">IF(D30=" "," ",VLOOKUP($D30,'Challenge Liste'!$A$3:$I$27,5))</f>
        <v xml:space="preserve"> </v>
      </c>
      <c r="H30" s="54" t="str">
        <f ca="1">IF(D30=" "," ",IF(E30=0,"-",HLOOKUP(E30,'Skill Liste'!$C$1:$H$29,LOOKUP(F30,'Skill Liste'!$B$2:$B$29,'Skill Liste'!$A$2:$A$29),FALSE)+Data!B88))</f>
        <v xml:space="preserve"> </v>
      </c>
      <c r="I30" s="54" t="str">
        <f ca="1">IF(D30=" "," ",VLOOKUP($D30,Tabelle6[[Challenges]:[Bester für Skill 2]],3))</f>
        <v xml:space="preserve"> </v>
      </c>
      <c r="J30" s="54" t="str">
        <f ca="1">IF(D30=" "," ",VLOOKUP($D30,'Challenge Liste'!$A$3:$F$27,6))</f>
        <v xml:space="preserve"> </v>
      </c>
      <c r="K30" s="54" t="str">
        <f ca="1">IF(D30=" "," ",VLOOKUP($D30,'Challenge Liste'!$A$3:$I$27,9))</f>
        <v xml:space="preserve"> </v>
      </c>
      <c r="L30" s="54" t="str">
        <f ca="1">IF(D30=" "," ",IF(I30=0,"-",HLOOKUP(I30,'Skill Liste'!$C$1:$H$29,LOOKUP(J30,'Skill Liste'!$B$2:$B$29,'Skill Liste'!$A$2:$A$29),FALSE)+Data!C88))</f>
        <v xml:space="preserve"> </v>
      </c>
      <c r="M30" s="54" t="str">
        <f t="shared" ca="1" si="3"/>
        <v xml:space="preserve"> </v>
      </c>
      <c r="N30" s="54" t="str">
        <f ca="1">IF(D30=" "," ",VLOOKUP(D30,Data!$A$32:$AH$56,IF(M30="Critical Success",2,IF(M30="Success",11,IF(M30="Failure",20,29))),))</f>
        <v xml:space="preserve"> </v>
      </c>
      <c r="O30" s="54" t="str">
        <f ca="1">IF(D30=" "," ",VLOOKUP(D30,Data!$A$32:$AH$56,IF(M30="Critical Success",3,IF(M30="Success",12,IF(M30="Failure",21,30))),)+O29)</f>
        <v xml:space="preserve"> </v>
      </c>
      <c r="P30" s="54" t="str">
        <f ca="1">IF(OR(D30=" ",D30="Complete the item")," ",VLOOKUP(D30,Data!$A$32:$AH$56,IF(M30="Critical Success",4,IF(M30="Success",13,IF(M30="Failure",22,31))),)+P29)</f>
        <v xml:space="preserve"> </v>
      </c>
      <c r="Q30" s="54" t="str">
        <f ca="1">IF(OR(D29=" ",D29="Complete the item")," ",IF(VLOOKUP(D30,Data!$A$32:$AH$56,IF(M30="Critical Success",5,IF(M30="Success",14,IF(M30="Failure",23,32))),)="X",Q29+1,IF(VLOOKUP(D30,Data!$A$32:$AH$56,IF(M30="Critical Success",5,IF(M30="Success",14,IF(M30="Failure",23,32))),)="XX",Q29+2,Q29)))</f>
        <v xml:space="preserve"> </v>
      </c>
      <c r="R30" s="54" t="str">
        <f ca="1">IF(OR(D29=" ",D29="Complete the item")," ",IF(VLOOKUP(D30,Data!$A$32:$AH$56,IF(M30="Critical Success",6,IF(M30="Success",15,IF(M30="Failure",24,33))),)="X",R29+1,IF(VLOOKUP(D30,Data!$A$32:$AH$56,IF(M30="Critical Success",6,IF(M30="Success",15,IF(M30="Failure",24,33))),)="XX",R29+2,R29)))</f>
        <v xml:space="preserve"> </v>
      </c>
      <c r="S30" s="54" t="str">
        <f ca="1">IF(OR(D29=" ",D29="Complete the item")," ",IF(VLOOKUP(D30,Data!$A$32:$AH$56,IF(M30="Critical Success",7,IF(M30="Success",16,IF(M30="Failure",25,34))),)="X",S29+1,IF(VLOOKUP(D30,Data!$A$32:$AH$56,IF(M30="Critical Success",7,IF(M30="Success",16,IF(M30="Failure",25,34))),)="XX",S29+2,S29)))</f>
        <v xml:space="preserve"> </v>
      </c>
    </row>
    <row r="31" spans="1:19" x14ac:dyDescent="0.25">
      <c r="A31" s="54" t="str">
        <f t="shared" ca="1" si="4"/>
        <v xml:space="preserve"> </v>
      </c>
      <c r="B31" s="54" t="str">
        <f t="shared" ca="1" si="5"/>
        <v xml:space="preserve"> </v>
      </c>
      <c r="C31" s="54" t="str">
        <f ca="1">IF(OR(D30="Complete the item",D30=" ")," ",Data!A88)</f>
        <v xml:space="preserve"> </v>
      </c>
      <c r="D31" s="54" t="str">
        <f ca="1">IF(P30=" "," ",IF(A31&lt;P30,VLOOKUP(C31,Data!$A$2:$E$24,5),IF(OR(D30=" ",D30="Complete the item")," ","Complete the item")))</f>
        <v xml:space="preserve"> </v>
      </c>
      <c r="E31" s="54" t="str">
        <f ca="1">IF(D31=" "," ",VLOOKUP($D31,Tabelle6[[Challenges]:[Bester für Skill 2]],2))</f>
        <v xml:space="preserve"> </v>
      </c>
      <c r="F31" s="54" t="str">
        <f ca="1">IF(D31=" "," ",VLOOKUP($D31,'Challenge Liste'!$A$3:$F$27,2))</f>
        <v xml:space="preserve"> </v>
      </c>
      <c r="G31" s="54" t="str">
        <f ca="1">IF(D31=" "," ",VLOOKUP($D31,'Challenge Liste'!$A$3:$I$27,5))</f>
        <v xml:space="preserve"> </v>
      </c>
      <c r="H31" s="54" t="str">
        <f ca="1">IF(D31=" "," ",IF(E31=0,"-",HLOOKUP(E31,'Skill Liste'!$C$1:$H$29,LOOKUP(F31,'Skill Liste'!$B$2:$B$29,'Skill Liste'!$A$2:$A$29),FALSE)+Data!B89))</f>
        <v xml:space="preserve"> </v>
      </c>
      <c r="I31" s="54" t="str">
        <f ca="1">IF(D31=" "," ",VLOOKUP($D31,Tabelle6[[Challenges]:[Bester für Skill 2]],3))</f>
        <v xml:space="preserve"> </v>
      </c>
      <c r="J31" s="54" t="str">
        <f ca="1">IF(D31=" "," ",VLOOKUP($D31,'Challenge Liste'!$A$3:$F$27,6))</f>
        <v xml:space="preserve"> </v>
      </c>
      <c r="K31" s="54" t="str">
        <f ca="1">IF(D31=" "," ",VLOOKUP($D31,'Challenge Liste'!$A$3:$I$27,9))</f>
        <v xml:space="preserve"> </v>
      </c>
      <c r="L31" s="54" t="str">
        <f ca="1">IF(D31=" "," ",IF(I31=0,"-",HLOOKUP(I31,'Skill Liste'!$C$1:$H$29,LOOKUP(J31,'Skill Liste'!$B$2:$B$29,'Skill Liste'!$A$2:$A$29),FALSE)+Data!C89))</f>
        <v xml:space="preserve"> </v>
      </c>
      <c r="M31" s="54" t="str">
        <f t="shared" ca="1" si="3"/>
        <v xml:space="preserve"> </v>
      </c>
      <c r="N31" s="54" t="str">
        <f ca="1">IF(D31=" "," ",VLOOKUP(D31,Data!$A$32:$AH$56,IF(M31="Critical Success",2,IF(M31="Success",11,IF(M31="Failure",20,29))),))</f>
        <v xml:space="preserve"> </v>
      </c>
      <c r="O31" s="54" t="str">
        <f ca="1">IF(D31=" "," ",VLOOKUP(D31,Data!$A$32:$AH$56,IF(M31="Critical Success",3,IF(M31="Success",12,IF(M31="Failure",21,30))),)+O30)</f>
        <v xml:space="preserve"> </v>
      </c>
      <c r="P31" s="54" t="str">
        <f ca="1">IF(OR(D31=" ",D31="Complete the item")," ",VLOOKUP(D31,Data!$A$32:$AH$56,IF(M31="Critical Success",4,IF(M31="Success",13,IF(M31="Failure",22,31))),)+P30)</f>
        <v xml:space="preserve"> </v>
      </c>
      <c r="Q31" s="54" t="str">
        <f ca="1">IF(OR(D30=" ",D30="Complete the item")," ",IF(VLOOKUP(D31,Data!$A$32:$AH$56,IF(M31="Critical Success",5,IF(M31="Success",14,IF(M31="Failure",23,32))),)="X",Q30+1,IF(VLOOKUP(D31,Data!$A$32:$AH$56,IF(M31="Critical Success",5,IF(M31="Success",14,IF(M31="Failure",23,32))),)="XX",Q30+2,Q30)))</f>
        <v xml:space="preserve"> </v>
      </c>
      <c r="R31" s="54" t="str">
        <f ca="1">IF(OR(D30=" ",D30="Complete the item")," ",IF(VLOOKUP(D31,Data!$A$32:$AH$56,IF(M31="Critical Success",6,IF(M31="Success",15,IF(M31="Failure",24,33))),)="X",R30+1,IF(VLOOKUP(D31,Data!$A$32:$AH$56,IF(M31="Critical Success",6,IF(M31="Success",15,IF(M31="Failure",24,33))),)="XX",R30+2,R30)))</f>
        <v xml:space="preserve"> </v>
      </c>
      <c r="S31" s="54" t="str">
        <f ca="1">IF(OR(D30=" ",D30="Complete the item")," ",IF(VLOOKUP(D31,Data!$A$32:$AH$56,IF(M31="Critical Success",7,IF(M31="Success",16,IF(M31="Failure",25,34))),)="X",S30+1,IF(VLOOKUP(D31,Data!$A$32:$AH$56,IF(M31="Critical Success",7,IF(M31="Success",16,IF(M31="Failure",25,34))),)="XX",S30+2,S30)))</f>
        <v xml:space="preserve"> </v>
      </c>
    </row>
    <row r="32" spans="1:19" x14ac:dyDescent="0.25">
      <c r="A32" s="54" t="str">
        <f t="shared" ca="1" si="4"/>
        <v xml:space="preserve"> </v>
      </c>
      <c r="B32" s="54" t="str">
        <f t="shared" ca="1" si="5"/>
        <v xml:space="preserve"> </v>
      </c>
      <c r="C32" s="54" t="str">
        <f ca="1">IF(OR(D31="Complete the item",D31=" ")," ",Data!A89)</f>
        <v xml:space="preserve"> </v>
      </c>
      <c r="D32" s="54" t="str">
        <f ca="1">IF(P31=" "," ",IF(A32&lt;P31,VLOOKUP(C32,Data!$A$2:$E$24,5),IF(OR(D31=" ",D31="Complete the item")," ","Complete the item")))</f>
        <v xml:space="preserve"> </v>
      </c>
      <c r="E32" s="54" t="str">
        <f ca="1">IF(D32=" "," ",VLOOKUP($D32,Tabelle6[[Challenges]:[Bester für Skill 2]],2))</f>
        <v xml:space="preserve"> </v>
      </c>
      <c r="F32" s="54" t="str">
        <f ca="1">IF(D32=" "," ",VLOOKUP($D32,'Challenge Liste'!$A$3:$F$27,2))</f>
        <v xml:space="preserve"> </v>
      </c>
      <c r="G32" s="54" t="str">
        <f ca="1">IF(D32=" "," ",VLOOKUP($D32,'Challenge Liste'!$A$3:$I$27,5))</f>
        <v xml:space="preserve"> </v>
      </c>
      <c r="H32" s="54" t="str">
        <f ca="1">IF(D32=" "," ",IF(E32=0,"-",HLOOKUP(E32,'Skill Liste'!$C$1:$H$29,LOOKUP(F32,'Skill Liste'!$B$2:$B$29,'Skill Liste'!$A$2:$A$29),FALSE)+Data!B90))</f>
        <v xml:space="preserve"> </v>
      </c>
      <c r="I32" s="54" t="str">
        <f ca="1">IF(D32=" "," ",VLOOKUP($D32,Tabelle6[[Challenges]:[Bester für Skill 2]],3))</f>
        <v xml:space="preserve"> </v>
      </c>
      <c r="J32" s="54" t="str">
        <f ca="1">IF(D32=" "," ",VLOOKUP($D32,'Challenge Liste'!$A$3:$F$27,6))</f>
        <v xml:space="preserve"> </v>
      </c>
      <c r="K32" s="54" t="str">
        <f ca="1">IF(D32=" "," ",VLOOKUP($D32,'Challenge Liste'!$A$3:$I$27,9))</f>
        <v xml:space="preserve"> </v>
      </c>
      <c r="L32" s="54" t="str">
        <f ca="1">IF(D32=" "," ",IF(I32=0,"-",HLOOKUP(I32,'Skill Liste'!$C$1:$H$29,LOOKUP(J32,'Skill Liste'!$B$2:$B$29,'Skill Liste'!$A$2:$A$29),FALSE)+Data!C90))</f>
        <v xml:space="preserve"> </v>
      </c>
      <c r="M32" s="54" t="str">
        <f t="shared" ca="1" si="3"/>
        <v xml:space="preserve"> </v>
      </c>
      <c r="N32" s="54" t="str">
        <f ca="1">IF(D32=" "," ",VLOOKUP(D32,Data!$A$32:$AH$56,IF(M32="Critical Success",2,IF(M32="Success",11,IF(M32="Failure",20,29))),))</f>
        <v xml:space="preserve"> </v>
      </c>
      <c r="O32" s="54" t="str">
        <f ca="1">IF(D32=" "," ",VLOOKUP(D32,Data!$A$32:$AH$56,IF(M32="Critical Success",3,IF(M32="Success",12,IF(M32="Failure",21,30))),)+O31)</f>
        <v xml:space="preserve"> </v>
      </c>
      <c r="P32" s="54" t="str">
        <f ca="1">IF(OR(D32=" ",D32="Complete the item")," ",VLOOKUP(D32,Data!$A$32:$AH$56,IF(M32="Critical Success",4,IF(M32="Success",13,IF(M32="Failure",22,31))),)+P31)</f>
        <v xml:space="preserve"> </v>
      </c>
      <c r="Q32" s="54" t="str">
        <f ca="1">IF(OR(D31=" ",D31="Complete the item")," ",IF(VLOOKUP(D32,Data!$A$32:$AH$56,IF(M32="Critical Success",5,IF(M32="Success",14,IF(M32="Failure",23,32))),)="X",Q31+1,IF(VLOOKUP(D32,Data!$A$32:$AH$56,IF(M32="Critical Success",5,IF(M32="Success",14,IF(M32="Failure",23,32))),)="XX",Q31+2,Q31)))</f>
        <v xml:space="preserve"> </v>
      </c>
      <c r="R32" s="54" t="str">
        <f ca="1">IF(OR(D31=" ",D31="Complete the item")," ",IF(VLOOKUP(D32,Data!$A$32:$AH$56,IF(M32="Critical Success",6,IF(M32="Success",15,IF(M32="Failure",24,33))),)="X",R31+1,IF(VLOOKUP(D32,Data!$A$32:$AH$56,IF(M32="Critical Success",6,IF(M32="Success",15,IF(M32="Failure",24,33))),)="XX",R31+2,R31)))</f>
        <v xml:space="preserve"> </v>
      </c>
      <c r="S32" s="54" t="str">
        <f ca="1">IF(OR(D31=" ",D31="Complete the item")," ",IF(VLOOKUP(D32,Data!$A$32:$AH$56,IF(M32="Critical Success",7,IF(M32="Success",16,IF(M32="Failure",25,34))),)="X",S31+1,IF(VLOOKUP(D32,Data!$A$32:$AH$56,IF(M32="Critical Success",7,IF(M32="Success",16,IF(M32="Failure",25,34))),)="XX",S31+2,S31)))</f>
        <v xml:space="preserve"> </v>
      </c>
    </row>
    <row r="33" spans="1:19" x14ac:dyDescent="0.25">
      <c r="A33" s="54" t="str">
        <f t="shared" ca="1" si="4"/>
        <v xml:space="preserve"> </v>
      </c>
      <c r="B33" s="54" t="str">
        <f t="shared" ca="1" si="5"/>
        <v xml:space="preserve"> </v>
      </c>
      <c r="C33" s="54" t="str">
        <f ca="1">IF(OR(D32="Complete the item",D32=" ")," ",Data!A90)</f>
        <v xml:space="preserve"> </v>
      </c>
      <c r="D33" s="54" t="str">
        <f ca="1">IF(P32=" "," ",IF(A33&lt;P32,VLOOKUP(C33,Data!$A$2:$E$24,5),IF(OR(D32=" ",D32="Complete the item")," ","Complete the item")))</f>
        <v xml:space="preserve"> </v>
      </c>
      <c r="E33" s="54" t="str">
        <f ca="1">IF(D33=" "," ",VLOOKUP($D33,Tabelle6[[Challenges]:[Bester für Skill 2]],2))</f>
        <v xml:space="preserve"> </v>
      </c>
      <c r="F33" s="54" t="str">
        <f ca="1">IF(D33=" "," ",VLOOKUP($D33,'Challenge Liste'!$A$3:$F$27,2))</f>
        <v xml:space="preserve"> </v>
      </c>
      <c r="G33" s="54" t="str">
        <f ca="1">IF(D33=" "," ",VLOOKUP($D33,'Challenge Liste'!$A$3:$I$27,5))</f>
        <v xml:space="preserve"> </v>
      </c>
      <c r="H33" s="54" t="str">
        <f ca="1">IF(D33=" "," ",IF(E33=0,"-",HLOOKUP(E33,'Skill Liste'!$C$1:$H$29,LOOKUP(F33,'Skill Liste'!$B$2:$B$29,'Skill Liste'!$A$2:$A$29),FALSE)+Data!B91))</f>
        <v xml:space="preserve"> </v>
      </c>
      <c r="I33" s="54" t="str">
        <f ca="1">IF(D33=" "," ",VLOOKUP($D33,Tabelle6[[Challenges]:[Bester für Skill 2]],3))</f>
        <v xml:space="preserve"> </v>
      </c>
      <c r="J33" s="54" t="str">
        <f ca="1">IF(D33=" "," ",VLOOKUP($D33,'Challenge Liste'!$A$3:$F$27,6))</f>
        <v xml:space="preserve"> </v>
      </c>
      <c r="K33" s="54" t="str">
        <f ca="1">IF(D33=" "," ",VLOOKUP($D33,'Challenge Liste'!$A$3:$I$27,9))</f>
        <v xml:space="preserve"> </v>
      </c>
      <c r="L33" s="54" t="str">
        <f ca="1">IF(D33=" "," ",IF(I33=0,"-",HLOOKUP(I33,'Skill Liste'!$C$1:$H$29,LOOKUP(J33,'Skill Liste'!$B$2:$B$29,'Skill Liste'!$A$2:$A$29),FALSE)+Data!C91))</f>
        <v xml:space="preserve"> </v>
      </c>
      <c r="M33" s="54" t="str">
        <f t="shared" ca="1" si="3"/>
        <v xml:space="preserve"> </v>
      </c>
      <c r="N33" s="54" t="str">
        <f ca="1">IF(D33=" "," ",VLOOKUP(D33,Data!$A$32:$AH$56,IF(M33="Critical Success",2,IF(M33="Success",11,IF(M33="Failure",20,29))),))</f>
        <v xml:space="preserve"> </v>
      </c>
      <c r="O33" s="54" t="str">
        <f ca="1">IF(D33=" "," ",VLOOKUP(D33,Data!$A$32:$AH$56,IF(M33="Critical Success",3,IF(M33="Success",12,IF(M33="Failure",21,30))),)+O32)</f>
        <v xml:space="preserve"> </v>
      </c>
      <c r="P33" s="54" t="str">
        <f ca="1">IF(OR(D33=" ",D33="Complete the item")," ",VLOOKUP(D33,Data!$A$32:$AH$56,IF(M33="Critical Success",4,IF(M33="Success",13,IF(M33="Failure",22,31))),)+P32)</f>
        <v xml:space="preserve"> </v>
      </c>
      <c r="Q33" s="54" t="str">
        <f ca="1">IF(OR(D32=" ",D32="Complete the item")," ",IF(VLOOKUP(D33,Data!$A$32:$AH$56,IF(M33="Critical Success",5,IF(M33="Success",14,IF(M33="Failure",23,32))),)="X",Q32+1,IF(VLOOKUP(D33,Data!$A$32:$AH$56,IF(M33="Critical Success",5,IF(M33="Success",14,IF(M33="Failure",23,32))),)="XX",Q32+2,Q32)))</f>
        <v xml:space="preserve"> </v>
      </c>
      <c r="R33" s="54" t="str">
        <f ca="1">IF(OR(D32=" ",D32="Complete the item")," ",IF(VLOOKUP(D33,Data!$A$32:$AH$56,IF(M33="Critical Success",6,IF(M33="Success",15,IF(M33="Failure",24,33))),)="X",R32+1,IF(VLOOKUP(D33,Data!$A$32:$AH$56,IF(M33="Critical Success",6,IF(M33="Success",15,IF(M33="Failure",24,33))),)="XX",R32+2,R32)))</f>
        <v xml:space="preserve"> </v>
      </c>
      <c r="S33" s="54" t="str">
        <f ca="1">IF(OR(D32=" ",D32="Complete the item")," ",IF(VLOOKUP(D33,Data!$A$32:$AH$56,IF(M33="Critical Success",7,IF(M33="Success",16,IF(M33="Failure",25,34))),)="X",S32+1,IF(VLOOKUP(D33,Data!$A$32:$AH$56,IF(M33="Critical Success",7,IF(M33="Success",16,IF(M33="Failure",25,34))),)="XX",S32+2,S32)))</f>
        <v xml:space="preserve"> </v>
      </c>
    </row>
    <row r="34" spans="1:19" x14ac:dyDescent="0.25">
      <c r="A34" s="54" t="str">
        <f t="shared" ca="1" si="4"/>
        <v xml:space="preserve"> </v>
      </c>
      <c r="B34" s="54" t="str">
        <f t="shared" ca="1" si="5"/>
        <v xml:space="preserve"> </v>
      </c>
      <c r="C34" s="54" t="str">
        <f ca="1">IF(OR(D33="Complete the item",D33=" ")," ",Data!A91)</f>
        <v xml:space="preserve"> </v>
      </c>
      <c r="D34" s="54" t="str">
        <f ca="1">IF(P33=" "," ",IF(A34&lt;P33,VLOOKUP(C34,Data!$A$2:$E$24,5),IF(OR(D33=" ",D33="Complete the item")," ","Complete the item")))</f>
        <v xml:space="preserve"> </v>
      </c>
      <c r="E34" s="54" t="str">
        <f ca="1">IF(D34=" "," ",VLOOKUP($D34,Tabelle6[[Challenges]:[Bester für Skill 2]],2))</f>
        <v xml:space="preserve"> </v>
      </c>
      <c r="F34" s="54" t="str">
        <f ca="1">IF(D34=" "," ",VLOOKUP($D34,'Challenge Liste'!$A$3:$F$27,2))</f>
        <v xml:space="preserve"> </v>
      </c>
      <c r="G34" s="54" t="str">
        <f ca="1">IF(D34=" "," ",VLOOKUP($D34,'Challenge Liste'!$A$3:$I$27,5))</f>
        <v xml:space="preserve"> </v>
      </c>
      <c r="H34" s="54" t="str">
        <f ca="1">IF(D34=" "," ",IF(E34=0,"-",HLOOKUP(E34,'Skill Liste'!$C$1:$H$29,LOOKUP(F34,'Skill Liste'!$B$2:$B$29,'Skill Liste'!$A$2:$A$29),FALSE)+Data!B92))</f>
        <v xml:space="preserve"> </v>
      </c>
      <c r="I34" s="54" t="str">
        <f ca="1">IF(D34=" "," ",VLOOKUP($D34,Tabelle6[[Challenges]:[Bester für Skill 2]],3))</f>
        <v xml:space="preserve"> </v>
      </c>
      <c r="J34" s="54" t="str">
        <f ca="1">IF(D34=" "," ",VLOOKUP($D34,'Challenge Liste'!$A$3:$F$27,6))</f>
        <v xml:space="preserve"> </v>
      </c>
      <c r="K34" s="54" t="str">
        <f ca="1">IF(D34=" "," ",VLOOKUP($D34,'Challenge Liste'!$A$3:$I$27,9))</f>
        <v xml:space="preserve"> </v>
      </c>
      <c r="L34" s="54" t="str">
        <f ca="1">IF(D34=" "," ",IF(I34=0,"-",HLOOKUP(I34,'Skill Liste'!$C$1:$H$29,LOOKUP(J34,'Skill Liste'!$B$2:$B$29,'Skill Liste'!$A$2:$A$29),FALSE)+Data!C92))</f>
        <v xml:space="preserve"> </v>
      </c>
      <c r="M34" s="54" t="str">
        <f t="shared" ca="1" si="3"/>
        <v xml:space="preserve"> </v>
      </c>
      <c r="N34" s="54" t="str">
        <f ca="1">IF(D34=" "," ",VLOOKUP(D34,Data!$A$32:$AH$56,IF(M34="Critical Success",2,IF(M34="Success",11,IF(M34="Failure",20,29))),))</f>
        <v xml:space="preserve"> </v>
      </c>
      <c r="O34" s="54" t="str">
        <f ca="1">IF(D34=" "," ",VLOOKUP(D34,Data!$A$32:$AH$56,IF(M34="Critical Success",3,IF(M34="Success",12,IF(M34="Failure",21,30))),)+O33)</f>
        <v xml:space="preserve"> </v>
      </c>
      <c r="P34" s="54" t="str">
        <f ca="1">IF(OR(D34=" ",D34="Complete the item")," ",VLOOKUP(D34,Data!$A$32:$AH$56,IF(M34="Critical Success",4,IF(M34="Success",13,IF(M34="Failure",22,31))),)+P33)</f>
        <v xml:space="preserve"> </v>
      </c>
      <c r="Q34" s="54" t="str">
        <f ca="1">IF(OR(D33=" ",D33="Complete the item")," ",IF(VLOOKUP(D34,Data!$A$32:$AH$56,IF(M34="Critical Success",5,IF(M34="Success",14,IF(M34="Failure",23,32))),)="X",Q33+1,IF(VLOOKUP(D34,Data!$A$32:$AH$56,IF(M34="Critical Success",5,IF(M34="Success",14,IF(M34="Failure",23,32))),)="XX",Q33+2,Q33)))</f>
        <v xml:space="preserve"> </v>
      </c>
      <c r="R34" s="54" t="str">
        <f ca="1">IF(OR(D33=" ",D33="Complete the item")," ",IF(VLOOKUP(D34,Data!$A$32:$AH$56,IF(M34="Critical Success",6,IF(M34="Success",15,IF(M34="Failure",24,33))),)="X",R33+1,IF(VLOOKUP(D34,Data!$A$32:$AH$56,IF(M34="Critical Success",6,IF(M34="Success",15,IF(M34="Failure",24,33))),)="XX",R33+2,R33)))</f>
        <v xml:space="preserve"> </v>
      </c>
      <c r="S34" s="54" t="str">
        <f ca="1">IF(OR(D33=" ",D33="Complete the item")," ",IF(VLOOKUP(D34,Data!$A$32:$AH$56,IF(M34="Critical Success",7,IF(M34="Success",16,IF(M34="Failure",25,34))),)="X",S33+1,IF(VLOOKUP(D34,Data!$A$32:$AH$56,IF(M34="Critical Success",7,IF(M34="Success",16,IF(M34="Failure",25,34))),)="XX",S33+2,S33)))</f>
        <v xml:space="preserve"> </v>
      </c>
    </row>
    <row r="35" spans="1:19" x14ac:dyDescent="0.25">
      <c r="A35" s="54" t="str">
        <f t="shared" ca="1" si="4"/>
        <v xml:space="preserve"> </v>
      </c>
      <c r="B35" s="54" t="str">
        <f t="shared" ca="1" si="5"/>
        <v xml:space="preserve"> </v>
      </c>
      <c r="C35" s="54" t="str">
        <f ca="1">IF(OR(D34="Complete the item",D34=" ")," ",Data!A92)</f>
        <v xml:space="preserve"> </v>
      </c>
      <c r="D35" s="54" t="str">
        <f ca="1">IF(P34=" "," ",IF(A35&lt;P34,VLOOKUP(C35,Data!$A$2:$E$24,5),IF(OR(D34=" ",D34="Complete the item")," ","Complete the item")))</f>
        <v xml:space="preserve"> </v>
      </c>
      <c r="E35" s="54" t="str">
        <f ca="1">IF(D35=" "," ",VLOOKUP($D35,Tabelle6[[Challenges]:[Bester für Skill 2]],2))</f>
        <v xml:space="preserve"> </v>
      </c>
      <c r="F35" s="54" t="str">
        <f ca="1">IF(D35=" "," ",VLOOKUP($D35,'Challenge Liste'!$A$3:$F$27,2))</f>
        <v xml:space="preserve"> </v>
      </c>
      <c r="G35" s="54" t="str">
        <f ca="1">IF(D35=" "," ",VLOOKUP($D35,'Challenge Liste'!$A$3:$I$27,5))</f>
        <v xml:space="preserve"> </v>
      </c>
      <c r="H35" s="54" t="str">
        <f ca="1">IF(D35=" "," ",IF(E35=0,"-",HLOOKUP(E35,'Skill Liste'!$C$1:$H$29,LOOKUP(F35,'Skill Liste'!$B$2:$B$29,'Skill Liste'!$A$2:$A$29),FALSE)+Data!B93))</f>
        <v xml:space="preserve"> </v>
      </c>
      <c r="I35" s="54" t="str">
        <f ca="1">IF(D35=" "," ",VLOOKUP($D35,Tabelle6[[Challenges]:[Bester für Skill 2]],3))</f>
        <v xml:space="preserve"> </v>
      </c>
      <c r="J35" s="54" t="str">
        <f ca="1">IF(D35=" "," ",VLOOKUP($D35,'Challenge Liste'!$A$3:$F$27,6))</f>
        <v xml:space="preserve"> </v>
      </c>
      <c r="K35" s="54" t="str">
        <f ca="1">IF(D35=" "," ",VLOOKUP($D35,'Challenge Liste'!$A$3:$I$27,9))</f>
        <v xml:space="preserve"> </v>
      </c>
      <c r="L35" s="54" t="str">
        <f ca="1">IF(D35=" "," ",IF(I35=0,"-",HLOOKUP(I35,'Skill Liste'!$C$1:$H$29,LOOKUP(J35,'Skill Liste'!$B$2:$B$29,'Skill Liste'!$A$2:$A$29),FALSE)+Data!C93))</f>
        <v xml:space="preserve"> </v>
      </c>
      <c r="M35" s="54" t="str">
        <f t="shared" ca="1" si="3"/>
        <v xml:space="preserve"> </v>
      </c>
      <c r="N35" s="54" t="str">
        <f ca="1">IF(D35=" "," ",VLOOKUP(D35,Data!$A$32:$AH$56,IF(M35="Critical Success",2,IF(M35="Success",11,IF(M35="Failure",20,29))),))</f>
        <v xml:space="preserve"> </v>
      </c>
      <c r="O35" s="54" t="str">
        <f ca="1">IF(D35=" "," ",VLOOKUP(D35,Data!$A$32:$AH$56,IF(M35="Critical Success",3,IF(M35="Success",12,IF(M35="Failure",21,30))),)+O34)</f>
        <v xml:space="preserve"> </v>
      </c>
      <c r="P35" s="54" t="str">
        <f ca="1">IF(OR(D35=" ",D35="Complete the item")," ",VLOOKUP(D35,Data!$A$32:$AH$56,IF(M35="Critical Success",4,IF(M35="Success",13,IF(M35="Failure",22,31))),)+P34)</f>
        <v xml:space="preserve"> </v>
      </c>
      <c r="Q35" s="54" t="str">
        <f ca="1">IF(OR(D34=" ",D34="Complete the item")," ",IF(VLOOKUP(D35,Data!$A$32:$AH$56,IF(M35="Critical Success",5,IF(M35="Success",14,IF(M35="Failure",23,32))),)="X",Q34+1,IF(VLOOKUP(D35,Data!$A$32:$AH$56,IF(M35="Critical Success",5,IF(M35="Success",14,IF(M35="Failure",23,32))),)="XX",Q34+2,Q34)))</f>
        <v xml:space="preserve"> </v>
      </c>
      <c r="R35" s="54" t="str">
        <f ca="1">IF(OR(D34=" ",D34="Complete the item")," ",IF(VLOOKUP(D35,Data!$A$32:$AH$56,IF(M35="Critical Success",6,IF(M35="Success",15,IF(M35="Failure",24,33))),)="X",R34+1,IF(VLOOKUP(D35,Data!$A$32:$AH$56,IF(M35="Critical Success",6,IF(M35="Success",15,IF(M35="Failure",24,33))),)="XX",R34+2,R34)))</f>
        <v xml:space="preserve"> </v>
      </c>
      <c r="S35" s="54" t="str">
        <f ca="1">IF(OR(D34=" ",D34="Complete the item")," ",IF(VLOOKUP(D35,Data!$A$32:$AH$56,IF(M35="Critical Success",7,IF(M35="Success",16,IF(M35="Failure",25,34))),)="X",S34+1,IF(VLOOKUP(D35,Data!$A$32:$AH$56,IF(M35="Critical Success",7,IF(M35="Success",16,IF(M35="Failure",25,34))),)="XX",S34+2,S34)))</f>
        <v xml:space="preserve"> </v>
      </c>
    </row>
    <row r="36" spans="1:19" x14ac:dyDescent="0.25">
      <c r="A36" s="54" t="str">
        <f t="shared" ca="1" si="4"/>
        <v xml:space="preserve"> </v>
      </c>
      <c r="B36" s="54" t="str">
        <f t="shared" ca="1" si="5"/>
        <v xml:space="preserve"> </v>
      </c>
      <c r="C36" s="54" t="str">
        <f ca="1">IF(OR(D35="Complete the item",D35=" ")," ",Data!A93)</f>
        <v xml:space="preserve"> </v>
      </c>
      <c r="D36" s="54" t="str">
        <f ca="1">IF(P35=" "," ",IF(A36&lt;P35,VLOOKUP(C36,Data!$A$2:$E$24,5),IF(OR(D35=" ",D35="Complete the item")," ","Complete the item")))</f>
        <v xml:space="preserve"> </v>
      </c>
      <c r="E36" s="54" t="str">
        <f ca="1">IF(D36=" "," ",VLOOKUP($D36,Tabelle6[[Challenges]:[Bester für Skill 2]],2))</f>
        <v xml:space="preserve"> </v>
      </c>
      <c r="F36" s="54" t="str">
        <f ca="1">IF(D36=" "," ",VLOOKUP($D36,'Challenge Liste'!$A$3:$F$27,2))</f>
        <v xml:space="preserve"> </v>
      </c>
      <c r="G36" s="54" t="str">
        <f ca="1">IF(D36=" "," ",VLOOKUP($D36,'Challenge Liste'!$A$3:$I$27,5))</f>
        <v xml:space="preserve"> </v>
      </c>
      <c r="H36" s="54" t="str">
        <f ca="1">IF(D36=" "," ",IF(E36=0,"-",HLOOKUP(E36,'Skill Liste'!$C$1:$H$29,LOOKUP(F36,'Skill Liste'!$B$2:$B$29,'Skill Liste'!$A$2:$A$29),FALSE)+Data!B94))</f>
        <v xml:space="preserve"> </v>
      </c>
      <c r="I36" s="54" t="str">
        <f ca="1">IF(D36=" "," ",VLOOKUP($D36,Tabelle6[[Challenges]:[Bester für Skill 2]],3))</f>
        <v xml:space="preserve"> </v>
      </c>
      <c r="J36" s="54" t="str">
        <f ca="1">IF(D36=" "," ",VLOOKUP($D36,'Challenge Liste'!$A$3:$F$27,6))</f>
        <v xml:space="preserve"> </v>
      </c>
      <c r="K36" s="54" t="str">
        <f ca="1">IF(D36=" "," ",VLOOKUP($D36,'Challenge Liste'!$A$3:$I$27,9))</f>
        <v xml:space="preserve"> </v>
      </c>
      <c r="L36" s="54" t="str">
        <f ca="1">IF(D36=" "," ",IF(I36=0,"-",HLOOKUP(I36,'Skill Liste'!$C$1:$H$29,LOOKUP(J36,'Skill Liste'!$B$2:$B$29,'Skill Liste'!$A$2:$A$29),FALSE)+Data!C94))</f>
        <v xml:space="preserve"> </v>
      </c>
      <c r="M36" s="54" t="str">
        <f t="shared" ca="1" si="3"/>
        <v xml:space="preserve"> </v>
      </c>
      <c r="N36" s="54" t="str">
        <f ca="1">IF(D36=" "," ",VLOOKUP(D36,Data!$A$32:$AH$56,IF(M36="Critical Success",2,IF(M36="Success",11,IF(M36="Failure",20,29))),))</f>
        <v xml:space="preserve"> </v>
      </c>
      <c r="O36" s="54" t="str">
        <f ca="1">IF(D36=" "," ",VLOOKUP(D36,Data!$A$32:$AH$56,IF(M36="Critical Success",3,IF(M36="Success",12,IF(M36="Failure",21,30))),)+O35)</f>
        <v xml:space="preserve"> </v>
      </c>
      <c r="P36" s="54" t="str">
        <f ca="1">IF(OR(D36=" ",D36="Complete the item")," ",VLOOKUP(D36,Data!$A$32:$AH$56,IF(M36="Critical Success",4,IF(M36="Success",13,IF(M36="Failure",22,31))),)+P35)</f>
        <v xml:space="preserve"> </v>
      </c>
      <c r="Q36" s="54" t="str">
        <f ca="1">IF(OR(D35=" ",D35="Complete the item")," ",IF(VLOOKUP(D36,Data!$A$32:$AH$56,IF(M36="Critical Success",5,IF(M36="Success",14,IF(M36="Failure",23,32))),)="X",Q35+1,IF(VLOOKUP(D36,Data!$A$32:$AH$56,IF(M36="Critical Success",5,IF(M36="Success",14,IF(M36="Failure",23,32))),)="XX",Q35+2,Q35)))</f>
        <v xml:space="preserve"> </v>
      </c>
      <c r="R36" s="54" t="str">
        <f ca="1">IF(OR(D35=" ",D35="Complete the item")," ",IF(VLOOKUP(D36,Data!$A$32:$AH$56,IF(M36="Critical Success",6,IF(M36="Success",15,IF(M36="Failure",24,33))),)="X",R35+1,IF(VLOOKUP(D36,Data!$A$32:$AH$56,IF(M36="Critical Success",6,IF(M36="Success",15,IF(M36="Failure",24,33))),)="XX",R35+2,R35)))</f>
        <v xml:space="preserve"> </v>
      </c>
      <c r="S36" s="54" t="str">
        <f ca="1">IF(OR(D35=" ",D35="Complete the item")," ",IF(VLOOKUP(D36,Data!$A$32:$AH$56,IF(M36="Critical Success",7,IF(M36="Success",16,IF(M36="Failure",25,34))),)="X",S35+1,IF(VLOOKUP(D36,Data!$A$32:$AH$56,IF(M36="Critical Success",7,IF(M36="Success",16,IF(M36="Failure",25,34))),)="XX",S35+2,S35)))</f>
        <v xml:space="preserve"> </v>
      </c>
    </row>
    <row r="37" spans="1:19" x14ac:dyDescent="0.25">
      <c r="A37" s="54" t="str">
        <f t="shared" ca="1" si="4"/>
        <v xml:space="preserve"> </v>
      </c>
      <c r="B37" s="54" t="str">
        <f t="shared" ca="1" si="5"/>
        <v xml:space="preserve"> </v>
      </c>
      <c r="C37" s="54" t="str">
        <f ca="1">IF(OR(D36="Complete the item",D36=" ")," ",Data!A94)</f>
        <v xml:space="preserve"> </v>
      </c>
      <c r="D37" s="54" t="str">
        <f ca="1">IF(P36=" "," ",IF(A37&lt;P36,VLOOKUP(C37,Data!$A$2:$E$24,5),IF(OR(D36=" ",D36="Complete the item")," ","Complete the item")))</f>
        <v xml:space="preserve"> </v>
      </c>
      <c r="E37" s="54" t="str">
        <f ca="1">IF(D37=" "," ",VLOOKUP($D37,Tabelle6[[Challenges]:[Bester für Skill 2]],2))</f>
        <v xml:space="preserve"> </v>
      </c>
      <c r="F37" s="54" t="str">
        <f ca="1">IF(D37=" "," ",VLOOKUP($D37,'Challenge Liste'!$A$3:$F$27,2))</f>
        <v xml:space="preserve"> </v>
      </c>
      <c r="G37" s="54" t="str">
        <f ca="1">IF(D37=" "," ",VLOOKUP($D37,'Challenge Liste'!$A$3:$I$27,5))</f>
        <v xml:space="preserve"> </v>
      </c>
      <c r="H37" s="54" t="str">
        <f ca="1">IF(D37=" "," ",IF(E37=0,"-",HLOOKUP(E37,'Skill Liste'!$C$1:$H$29,LOOKUP(F37,'Skill Liste'!$B$2:$B$29,'Skill Liste'!$A$2:$A$29),FALSE)+Data!B95))</f>
        <v xml:space="preserve"> </v>
      </c>
      <c r="I37" s="54" t="str">
        <f ca="1">IF(D37=" "," ",VLOOKUP($D37,Tabelle6[[Challenges]:[Bester für Skill 2]],3))</f>
        <v xml:space="preserve"> </v>
      </c>
      <c r="J37" s="54" t="str">
        <f ca="1">IF(D37=" "," ",VLOOKUP($D37,'Challenge Liste'!$A$3:$F$27,6))</f>
        <v xml:space="preserve"> </v>
      </c>
      <c r="K37" s="54" t="str">
        <f ca="1">IF(D37=" "," ",VLOOKUP($D37,'Challenge Liste'!$A$3:$I$27,9))</f>
        <v xml:space="preserve"> </v>
      </c>
      <c r="L37" s="54" t="str">
        <f ca="1">IF(D37=" "," ",IF(I37=0,"-",HLOOKUP(I37,'Skill Liste'!$C$1:$H$29,LOOKUP(J37,'Skill Liste'!$B$2:$B$29,'Skill Liste'!$A$2:$A$29),FALSE)+Data!C95))</f>
        <v xml:space="preserve"> </v>
      </c>
      <c r="M37" s="54" t="str">
        <f t="shared" ca="1" si="3"/>
        <v xml:space="preserve"> </v>
      </c>
      <c r="N37" s="54" t="str">
        <f ca="1">IF(D37=" "," ",VLOOKUP(D37,Data!$A$32:$AH$56,IF(M37="Critical Success",2,IF(M37="Success",11,IF(M37="Failure",20,29))),))</f>
        <v xml:space="preserve"> </v>
      </c>
      <c r="O37" s="54" t="str">
        <f ca="1">IF(D37=" "," ",VLOOKUP(D37,Data!$A$32:$AH$56,IF(M37="Critical Success",3,IF(M37="Success",12,IF(M37="Failure",21,30))),)+O36)</f>
        <v xml:space="preserve"> </v>
      </c>
      <c r="P37" s="54" t="str">
        <f ca="1">IF(OR(D37=" ",D37="Complete the item")," ",VLOOKUP(D37,Data!$A$32:$AH$56,IF(M37="Critical Success",4,IF(M37="Success",13,IF(M37="Failure",22,31))),)+P36)</f>
        <v xml:space="preserve"> </v>
      </c>
      <c r="Q37" s="54" t="str">
        <f ca="1">IF(OR(D36=" ",D36="Complete the item")," ",IF(VLOOKUP(D37,Data!$A$32:$AH$56,IF(M37="Critical Success",5,IF(M37="Success",14,IF(M37="Failure",23,32))),)="X",Q36+1,IF(VLOOKUP(D37,Data!$A$32:$AH$56,IF(M37="Critical Success",5,IF(M37="Success",14,IF(M37="Failure",23,32))),)="XX",Q36+2,Q36)))</f>
        <v xml:space="preserve"> </v>
      </c>
      <c r="R37" s="54" t="str">
        <f ca="1">IF(OR(D36=" ",D36="Complete the item")," ",IF(VLOOKUP(D37,Data!$A$32:$AH$56,IF(M37="Critical Success",6,IF(M37="Success",15,IF(M37="Failure",24,33))),)="X",R36+1,IF(VLOOKUP(D37,Data!$A$32:$AH$56,IF(M37="Critical Success",6,IF(M37="Success",15,IF(M37="Failure",24,33))),)="XX",R36+2,R36)))</f>
        <v xml:space="preserve"> </v>
      </c>
      <c r="S37" s="54" t="str">
        <f ca="1">IF(OR(D36=" ",D36="Complete the item")," ",IF(VLOOKUP(D37,Data!$A$32:$AH$56,IF(M37="Critical Success",7,IF(M37="Success",16,IF(M37="Failure",25,34))),)="X",S36+1,IF(VLOOKUP(D37,Data!$A$32:$AH$56,IF(M37="Critical Success",7,IF(M37="Success",16,IF(M37="Failure",25,34))),)="XX",S36+2,S36)))</f>
        <v xml:space="preserve"> </v>
      </c>
    </row>
    <row r="38" spans="1:19" x14ac:dyDescent="0.25">
      <c r="A38" s="54" t="str">
        <f t="shared" ca="1" si="4"/>
        <v xml:space="preserve"> </v>
      </c>
      <c r="B38" s="54" t="str">
        <f t="shared" ca="1" si="5"/>
        <v xml:space="preserve"> </v>
      </c>
      <c r="C38" s="54" t="str">
        <f ca="1">IF(OR(D37="Complete the item",D37=" ")," ",Data!A95)</f>
        <v xml:space="preserve"> </v>
      </c>
      <c r="D38" s="54" t="str">
        <f ca="1">IF(P37=" "," ",IF(A38&lt;P37,VLOOKUP(C38,Data!$A$2:$E$24,5),IF(OR(D37=" ",D37="Complete the item")," ","Complete the item")))</f>
        <v xml:space="preserve"> </v>
      </c>
      <c r="E38" s="54" t="str">
        <f ca="1">IF(D38=" "," ",VLOOKUP($D38,Tabelle6[[Challenges]:[Bester für Skill 2]],2))</f>
        <v xml:space="preserve"> </v>
      </c>
      <c r="F38" s="54" t="str">
        <f ca="1">IF(D38=" "," ",VLOOKUP($D38,'Challenge Liste'!$A$3:$F$27,2))</f>
        <v xml:space="preserve"> </v>
      </c>
      <c r="G38" s="54" t="str">
        <f ca="1">IF(D38=" "," ",VLOOKUP($D38,'Challenge Liste'!$A$3:$I$27,5))</f>
        <v xml:space="preserve"> </v>
      </c>
      <c r="H38" s="54" t="str">
        <f ca="1">IF(D38=" "," ",IF(E38=0,"-",HLOOKUP(E38,'Skill Liste'!$C$1:$H$29,LOOKUP(F38,'Skill Liste'!$B$2:$B$29,'Skill Liste'!$A$2:$A$29),FALSE)+Data!B96))</f>
        <v xml:space="preserve"> </v>
      </c>
      <c r="I38" s="54" t="str">
        <f ca="1">IF(D38=" "," ",VLOOKUP($D38,Tabelle6[[Challenges]:[Bester für Skill 2]],3))</f>
        <v xml:space="preserve"> </v>
      </c>
      <c r="J38" s="54" t="str">
        <f ca="1">IF(D38=" "," ",VLOOKUP($D38,'Challenge Liste'!$A$3:$F$27,6))</f>
        <v xml:space="preserve"> </v>
      </c>
      <c r="K38" s="54" t="str">
        <f ca="1">IF(D38=" "," ",VLOOKUP($D38,'Challenge Liste'!$A$3:$I$27,9))</f>
        <v xml:space="preserve"> </v>
      </c>
      <c r="L38" s="54" t="str">
        <f ca="1">IF(D38=" "," ",IF(I38=0,"-",HLOOKUP(I38,'Skill Liste'!$C$1:$H$29,LOOKUP(J38,'Skill Liste'!$B$2:$B$29,'Skill Liste'!$A$2:$A$29),FALSE)+Data!C96))</f>
        <v xml:space="preserve"> </v>
      </c>
      <c r="M38" s="54" t="str">
        <f t="shared" ca="1" si="3"/>
        <v xml:space="preserve"> </v>
      </c>
      <c r="N38" s="54" t="str">
        <f ca="1">IF(D38=" "," ",VLOOKUP(D38,Data!$A$32:$AH$56,IF(M38="Critical Success",2,IF(M38="Success",11,IF(M38="Failure",20,29))),))</f>
        <v xml:space="preserve"> </v>
      </c>
      <c r="O38" s="54" t="str">
        <f ca="1">IF(D38=" "," ",VLOOKUP(D38,Data!$A$32:$AH$56,IF(M38="Critical Success",3,IF(M38="Success",12,IF(M38="Failure",21,30))),)+O37)</f>
        <v xml:space="preserve"> </v>
      </c>
      <c r="P38" s="54" t="str">
        <f ca="1">IF(OR(D38=" ",D38="Complete the item")," ",VLOOKUP(D38,Data!$A$32:$AH$56,IF(M38="Critical Success",4,IF(M38="Success",13,IF(M38="Failure",22,31))),)+P37)</f>
        <v xml:space="preserve"> </v>
      </c>
      <c r="Q38" s="54" t="str">
        <f ca="1">IF(OR(D37=" ",D37="Complete the item")," ",IF(VLOOKUP(D38,Data!$A$32:$AH$56,IF(M38="Critical Success",5,IF(M38="Success",14,IF(M38="Failure",23,32))),)="X",Q37+1,IF(VLOOKUP(D38,Data!$A$32:$AH$56,IF(M38="Critical Success",5,IF(M38="Success",14,IF(M38="Failure",23,32))),)="XX",Q37+2,Q37)))</f>
        <v xml:space="preserve"> </v>
      </c>
      <c r="R38" s="54" t="str">
        <f ca="1">IF(OR(D37=" ",D37="Complete the item")," ",IF(VLOOKUP(D38,Data!$A$32:$AH$56,IF(M38="Critical Success",6,IF(M38="Success",15,IF(M38="Failure",24,33))),)="X",R37+1,IF(VLOOKUP(D38,Data!$A$32:$AH$56,IF(M38="Critical Success",6,IF(M38="Success",15,IF(M38="Failure",24,33))),)="XX",R37+2,R37)))</f>
        <v xml:space="preserve"> </v>
      </c>
      <c r="S38" s="54" t="str">
        <f ca="1">IF(OR(D37=" ",D37="Complete the item")," ",IF(VLOOKUP(D38,Data!$A$32:$AH$56,IF(M38="Critical Success",7,IF(M38="Success",16,IF(M38="Failure",25,34))),)="X",S37+1,IF(VLOOKUP(D38,Data!$A$32:$AH$56,IF(M38="Critical Success",7,IF(M38="Success",16,IF(M38="Failure",25,34))),)="XX",S37+2,S37)))</f>
        <v xml:space="preserve"> </v>
      </c>
    </row>
    <row r="39" spans="1:19" x14ac:dyDescent="0.25">
      <c r="A39" s="54" t="str">
        <f t="shared" ca="1" si="4"/>
        <v xml:space="preserve"> </v>
      </c>
      <c r="B39" s="54" t="str">
        <f t="shared" ca="1" si="5"/>
        <v xml:space="preserve"> </v>
      </c>
      <c r="C39" s="54" t="str">
        <f ca="1">IF(OR(D38="Complete the item",D38=" ")," ",Data!A96)</f>
        <v xml:space="preserve"> </v>
      </c>
      <c r="D39" s="54" t="str">
        <f ca="1">IF(P38=" "," ",IF(A39&lt;P38,VLOOKUP(C39,Data!$A$2:$E$24,5),IF(OR(D38=" ",D38="Complete the item")," ","Complete the item")))</f>
        <v xml:space="preserve"> </v>
      </c>
      <c r="E39" s="54" t="str">
        <f ca="1">IF(D39=" "," ",VLOOKUP($D39,Tabelle6[[Challenges]:[Bester für Skill 2]],2))</f>
        <v xml:space="preserve"> </v>
      </c>
      <c r="F39" s="54" t="str">
        <f ca="1">IF(D39=" "," ",VLOOKUP($D39,'Challenge Liste'!$A$3:$F$27,2))</f>
        <v xml:space="preserve"> </v>
      </c>
      <c r="G39" s="54" t="str">
        <f ca="1">IF(D39=" "," ",VLOOKUP($D39,'Challenge Liste'!$A$3:$I$27,5))</f>
        <v xml:space="preserve"> </v>
      </c>
      <c r="H39" s="54" t="str">
        <f ca="1">IF(D39=" "," ",IF(E39=0,"-",HLOOKUP(E39,'Skill Liste'!$C$1:$H$29,LOOKUP(F39,'Skill Liste'!$B$2:$B$29,'Skill Liste'!$A$2:$A$29),FALSE)+Data!B97))</f>
        <v xml:space="preserve"> </v>
      </c>
      <c r="I39" s="54" t="str">
        <f ca="1">IF(D39=" "," ",VLOOKUP($D39,Tabelle6[[Challenges]:[Bester für Skill 2]],3))</f>
        <v xml:space="preserve"> </v>
      </c>
      <c r="J39" s="54" t="str">
        <f ca="1">IF(D39=" "," ",VLOOKUP($D39,'Challenge Liste'!$A$3:$F$27,6))</f>
        <v xml:space="preserve"> </v>
      </c>
      <c r="K39" s="54" t="str">
        <f ca="1">IF(D39=" "," ",VLOOKUP($D39,'Challenge Liste'!$A$3:$I$27,9))</f>
        <v xml:space="preserve"> </v>
      </c>
      <c r="L39" s="54" t="str">
        <f ca="1">IF(D39=" "," ",IF(I39=0,"-",HLOOKUP(I39,'Skill Liste'!$C$1:$H$29,LOOKUP(J39,'Skill Liste'!$B$2:$B$29,'Skill Liste'!$A$2:$A$29),FALSE)+Data!C97))</f>
        <v xml:space="preserve"> </v>
      </c>
      <c r="M39" s="54" t="str">
        <f t="shared" ca="1" si="3"/>
        <v xml:space="preserve"> </v>
      </c>
      <c r="N39" s="54" t="str">
        <f ca="1">IF(D39=" "," ",VLOOKUP(D39,Data!$A$32:$AH$56,IF(M39="Critical Success",2,IF(M39="Success",11,IF(M39="Failure",20,29))),))</f>
        <v xml:space="preserve"> </v>
      </c>
      <c r="O39" s="54" t="str">
        <f ca="1">IF(D39=" "," ",VLOOKUP(D39,Data!$A$32:$AH$56,IF(M39="Critical Success",3,IF(M39="Success",12,IF(M39="Failure",21,30))),)+O38)</f>
        <v xml:space="preserve"> </v>
      </c>
      <c r="P39" s="54" t="str">
        <f ca="1">IF(OR(D39=" ",D39="Complete the item")," ",VLOOKUP(D39,Data!$A$32:$AH$56,IF(M39="Critical Success",4,IF(M39="Success",13,IF(M39="Failure",22,31))),)+P38)</f>
        <v xml:space="preserve"> </v>
      </c>
      <c r="Q39" s="54" t="str">
        <f ca="1">IF(OR(D38=" ",D38="Complete the item")," ",IF(VLOOKUP(D39,Data!$A$32:$AH$56,IF(M39="Critical Success",5,IF(M39="Success",14,IF(M39="Failure",23,32))),)="X",Q38+1,IF(VLOOKUP(D39,Data!$A$32:$AH$56,IF(M39="Critical Success",5,IF(M39="Success",14,IF(M39="Failure",23,32))),)="XX",Q38+2,Q38)))</f>
        <v xml:space="preserve"> </v>
      </c>
      <c r="R39" s="54" t="str">
        <f ca="1">IF(OR(D38=" ",D38="Complete the item")," ",IF(VLOOKUP(D39,Data!$A$32:$AH$56,IF(M39="Critical Success",6,IF(M39="Success",15,IF(M39="Failure",24,33))),)="X",R38+1,IF(VLOOKUP(D39,Data!$A$32:$AH$56,IF(M39="Critical Success",6,IF(M39="Success",15,IF(M39="Failure",24,33))),)="XX",R38+2,R38)))</f>
        <v xml:space="preserve"> </v>
      </c>
      <c r="S39" s="54" t="str">
        <f ca="1">IF(OR(D38=" ",D38="Complete the item")," ",IF(VLOOKUP(D39,Data!$A$32:$AH$56,IF(M39="Critical Success",7,IF(M39="Success",16,IF(M39="Failure",25,34))),)="X",S38+1,IF(VLOOKUP(D39,Data!$A$32:$AH$56,IF(M39="Critical Success",7,IF(M39="Success",16,IF(M39="Failure",25,34))),)="XX",S38+2,S38)))</f>
        <v xml:space="preserve"> </v>
      </c>
    </row>
    <row r="40" spans="1:19" x14ac:dyDescent="0.25">
      <c r="A40" s="54" t="str">
        <f t="shared" ca="1" si="4"/>
        <v xml:space="preserve"> </v>
      </c>
      <c r="B40" s="54" t="str">
        <f t="shared" ca="1" si="5"/>
        <v xml:space="preserve"> </v>
      </c>
      <c r="C40" s="54" t="str">
        <f ca="1">IF(OR(D39="Complete the item",D39=" ")," ",Data!A97)</f>
        <v xml:space="preserve"> </v>
      </c>
      <c r="D40" s="54" t="str">
        <f ca="1">IF(P39=" "," ",IF(A40&lt;P39,VLOOKUP(C40,Data!$A$2:$E$24,5),IF(OR(D39=" ",D39="Complete the item")," ","Complete the item")))</f>
        <v xml:space="preserve"> </v>
      </c>
      <c r="E40" s="54" t="str">
        <f ca="1">IF(D40=" "," ",VLOOKUP($D40,Tabelle6[[Challenges]:[Bester für Skill 2]],2))</f>
        <v xml:space="preserve"> </v>
      </c>
      <c r="F40" s="54" t="str">
        <f ca="1">IF(D40=" "," ",VLOOKUP($D40,'Challenge Liste'!$A$3:$F$27,2))</f>
        <v xml:space="preserve"> </v>
      </c>
      <c r="G40" s="54" t="str">
        <f ca="1">IF(D40=" "," ",VLOOKUP($D40,'Challenge Liste'!$A$3:$I$27,5))</f>
        <v xml:space="preserve"> </v>
      </c>
      <c r="H40" s="54" t="str">
        <f ca="1">IF(D40=" "," ",IF(E40=0,"-",HLOOKUP(E40,'Skill Liste'!$C$1:$H$29,LOOKUP(F40,'Skill Liste'!$B$2:$B$29,'Skill Liste'!$A$2:$A$29),FALSE)+Data!B98))</f>
        <v xml:space="preserve"> </v>
      </c>
      <c r="I40" s="54" t="str">
        <f ca="1">IF(D40=" "," ",VLOOKUP($D40,Tabelle6[[Challenges]:[Bester für Skill 2]],3))</f>
        <v xml:space="preserve"> </v>
      </c>
      <c r="J40" s="54" t="str">
        <f ca="1">IF(D40=" "," ",VLOOKUP($D40,'Challenge Liste'!$A$3:$F$27,6))</f>
        <v xml:space="preserve"> </v>
      </c>
      <c r="K40" s="54" t="str">
        <f ca="1">IF(D40=" "," ",VLOOKUP($D40,'Challenge Liste'!$A$3:$I$27,9))</f>
        <v xml:space="preserve"> </v>
      </c>
      <c r="L40" s="54" t="str">
        <f ca="1">IF(D40=" "," ",IF(I40=0,"-",HLOOKUP(I40,'Skill Liste'!$C$1:$H$29,LOOKUP(J40,'Skill Liste'!$B$2:$B$29,'Skill Liste'!$A$2:$A$29),FALSE)+Data!C98))</f>
        <v xml:space="preserve"> </v>
      </c>
      <c r="M40" s="54" t="str">
        <f t="shared" ca="1" si="3"/>
        <v xml:space="preserve"> </v>
      </c>
      <c r="N40" s="54" t="str">
        <f ca="1">IF(D40=" "," ",VLOOKUP(D40,Data!$A$32:$AH$56,IF(M40="Critical Success",2,IF(M40="Success",11,IF(M40="Failure",20,29))),))</f>
        <v xml:space="preserve"> </v>
      </c>
      <c r="O40" s="54" t="str">
        <f ca="1">IF(D40=" "," ",VLOOKUP(D40,Data!$A$32:$AH$56,IF(M40="Critical Success",3,IF(M40="Success",12,IF(M40="Failure",21,30))),)+O39)</f>
        <v xml:space="preserve"> </v>
      </c>
      <c r="P40" s="54" t="str">
        <f ca="1">IF(OR(D40=" ",D40="Complete the item")," ",VLOOKUP(D40,Data!$A$32:$AH$56,IF(M40="Critical Success",4,IF(M40="Success",13,IF(M40="Failure",22,31))),)+P39)</f>
        <v xml:space="preserve"> </v>
      </c>
      <c r="Q40" s="54" t="str">
        <f ca="1">IF(OR(D39=" ",D39="Complete the item")," ",IF(VLOOKUP(D40,Data!$A$32:$AH$56,IF(M40="Critical Success",5,IF(M40="Success",14,IF(M40="Failure",23,32))),)="X",Q39+1,IF(VLOOKUP(D40,Data!$A$32:$AH$56,IF(M40="Critical Success",5,IF(M40="Success",14,IF(M40="Failure",23,32))),)="XX",Q39+2,Q39)))</f>
        <v xml:space="preserve"> </v>
      </c>
      <c r="R40" s="54" t="str">
        <f ca="1">IF(OR(D39=" ",D39="Complete the item")," ",IF(VLOOKUP(D40,Data!$A$32:$AH$56,IF(M40="Critical Success",6,IF(M40="Success",15,IF(M40="Failure",24,33))),)="X",R39+1,IF(VLOOKUP(D40,Data!$A$32:$AH$56,IF(M40="Critical Success",6,IF(M40="Success",15,IF(M40="Failure",24,33))),)="XX",R39+2,R39)))</f>
        <v xml:space="preserve"> </v>
      </c>
      <c r="S40" s="54" t="str">
        <f ca="1">IF(OR(D39=" ",D39="Complete the item")," ",IF(VLOOKUP(D40,Data!$A$32:$AH$56,IF(M40="Critical Success",7,IF(M40="Success",16,IF(M40="Failure",25,34))),)="X",S39+1,IF(VLOOKUP(D40,Data!$A$32:$AH$56,IF(M40="Critical Success",7,IF(M40="Success",16,IF(M40="Failure",25,34))),)="XX",S39+2,S39)))</f>
        <v xml:space="preserve"> </v>
      </c>
    </row>
    <row r="41" spans="1:19" x14ac:dyDescent="0.25">
      <c r="A41" s="54" t="str">
        <f t="shared" ca="1" si="4"/>
        <v xml:space="preserve"> </v>
      </c>
      <c r="B41" s="54" t="str">
        <f t="shared" ca="1" si="5"/>
        <v xml:space="preserve"> </v>
      </c>
      <c r="C41" s="54" t="str">
        <f ca="1">IF(OR(D40="Complete the item",D40=" ")," ",Data!A98)</f>
        <v xml:space="preserve"> </v>
      </c>
      <c r="D41" s="54" t="str">
        <f ca="1">IF(P40=" "," ",IF(A41&lt;P40,VLOOKUP(C41,Data!$A$2:$E$24,5),IF(OR(D40=" ",D40="Complete the item")," ","Complete the item")))</f>
        <v xml:space="preserve"> </v>
      </c>
      <c r="E41" s="54" t="str">
        <f ca="1">IF(D41=" "," ",VLOOKUP($D41,Tabelle6[[Challenges]:[Bester für Skill 2]],2))</f>
        <v xml:space="preserve"> </v>
      </c>
      <c r="F41" s="54" t="str">
        <f ca="1">IF(D41=" "," ",VLOOKUP($D41,'Challenge Liste'!$A$3:$F$27,2))</f>
        <v xml:space="preserve"> </v>
      </c>
      <c r="G41" s="54" t="str">
        <f ca="1">IF(D41=" "," ",VLOOKUP($D41,'Challenge Liste'!$A$3:$I$27,5))</f>
        <v xml:space="preserve"> </v>
      </c>
      <c r="H41" s="54" t="str">
        <f ca="1">IF(D41=" "," ",IF(E41=0,"-",HLOOKUP(E41,'Skill Liste'!$C$1:$H$29,LOOKUP(F41,'Skill Liste'!$B$2:$B$29,'Skill Liste'!$A$2:$A$29),FALSE)+Data!B99))</f>
        <v xml:space="preserve"> </v>
      </c>
      <c r="I41" s="54" t="str">
        <f ca="1">IF(D41=" "," ",VLOOKUP($D41,Tabelle6[[Challenges]:[Bester für Skill 2]],3))</f>
        <v xml:space="preserve"> </v>
      </c>
      <c r="J41" s="54" t="str">
        <f ca="1">IF(D41=" "," ",VLOOKUP($D41,'Challenge Liste'!$A$3:$F$27,6))</f>
        <v xml:space="preserve"> </v>
      </c>
      <c r="K41" s="54" t="str">
        <f ca="1">IF(D41=" "," ",VLOOKUP($D41,'Challenge Liste'!$A$3:$I$27,9))</f>
        <v xml:space="preserve"> </v>
      </c>
      <c r="L41" s="54" t="str">
        <f ca="1">IF(D41=" "," ",IF(I41=0,"-",HLOOKUP(I41,'Skill Liste'!$C$1:$H$29,LOOKUP(J41,'Skill Liste'!$B$2:$B$29,'Skill Liste'!$A$2:$A$29),FALSE)+Data!C99))</f>
        <v xml:space="preserve"> </v>
      </c>
      <c r="M41" s="54" t="str">
        <f t="shared" ca="1" si="3"/>
        <v xml:space="preserve"> </v>
      </c>
      <c r="N41" s="54" t="str">
        <f ca="1">IF(D41=" "," ",VLOOKUP(D41,Data!$A$32:$AH$56,IF(M41="Critical Success",2,IF(M41="Success",11,IF(M41="Failure",20,29))),))</f>
        <v xml:space="preserve"> </v>
      </c>
      <c r="O41" s="54" t="str">
        <f ca="1">IF(D41=" "," ",VLOOKUP(D41,Data!$A$32:$AH$56,IF(M41="Critical Success",3,IF(M41="Success",12,IF(M41="Failure",21,30))),)+O40)</f>
        <v xml:space="preserve"> </v>
      </c>
      <c r="P41" s="54" t="str">
        <f ca="1">IF(OR(D41=" ",D41="Complete the item")," ",VLOOKUP(D41,Data!$A$32:$AH$56,IF(M41="Critical Success",4,IF(M41="Success",13,IF(M41="Failure",22,31))),)+P40)</f>
        <v xml:space="preserve"> </v>
      </c>
      <c r="Q41" s="54" t="str">
        <f ca="1">IF(OR(D40=" ",D40="Complete the item")," ",IF(VLOOKUP(D41,Data!$A$32:$AH$56,IF(M41="Critical Success",5,IF(M41="Success",14,IF(M41="Failure",23,32))),)="X",Q40+1,IF(VLOOKUP(D41,Data!$A$32:$AH$56,IF(M41="Critical Success",5,IF(M41="Success",14,IF(M41="Failure",23,32))),)="XX",Q40+2,Q40)))</f>
        <v xml:space="preserve"> </v>
      </c>
      <c r="R41" s="54" t="str">
        <f ca="1">IF(OR(D40=" ",D40="Complete the item")," ",IF(VLOOKUP(D41,Data!$A$32:$AH$56,IF(M41="Critical Success",6,IF(M41="Success",15,IF(M41="Failure",24,33))),)="X",R40+1,IF(VLOOKUP(D41,Data!$A$32:$AH$56,IF(M41="Critical Success",6,IF(M41="Success",15,IF(M41="Failure",24,33))),)="XX",R40+2,R40)))</f>
        <v xml:space="preserve"> </v>
      </c>
      <c r="S41" s="54" t="str">
        <f ca="1">IF(OR(D40=" ",D40="Complete the item")," ",IF(VLOOKUP(D41,Data!$A$32:$AH$56,IF(M41="Critical Success",7,IF(M41="Success",16,IF(M41="Failure",25,34))),)="X",S40+1,IF(VLOOKUP(D41,Data!$A$32:$AH$56,IF(M41="Critical Success",7,IF(M41="Success",16,IF(M41="Failure",25,34))),)="XX",S40+2,S40)))</f>
        <v xml:space="preserve"> </v>
      </c>
    </row>
    <row r="42" spans="1:19" x14ac:dyDescent="0.25">
      <c r="A42" s="54" t="str">
        <f t="shared" ca="1" si="4"/>
        <v xml:space="preserve"> </v>
      </c>
      <c r="B42" s="54" t="str">
        <f t="shared" ca="1" si="5"/>
        <v xml:space="preserve"> </v>
      </c>
      <c r="C42" s="54" t="str">
        <f ca="1">IF(OR(D41="Complete the item",D41=" ")," ",Data!A99)</f>
        <v xml:space="preserve"> </v>
      </c>
      <c r="D42" s="54" t="str">
        <f ca="1">IF(P41=" "," ",IF(A42&lt;P41,VLOOKUP(C42,Data!$A$2:$E$24,5),IF(OR(D41=" ",D41="Complete the item")," ","Complete the item")))</f>
        <v xml:space="preserve"> </v>
      </c>
      <c r="E42" s="54" t="str">
        <f ca="1">IF(D42=" "," ",VLOOKUP($D42,Tabelle6[[Challenges]:[Bester für Skill 2]],2))</f>
        <v xml:space="preserve"> </v>
      </c>
      <c r="F42" s="54" t="str">
        <f ca="1">IF(D42=" "," ",VLOOKUP($D42,'Challenge Liste'!$A$3:$F$27,2))</f>
        <v xml:space="preserve"> </v>
      </c>
      <c r="G42" s="54" t="str">
        <f ca="1">IF(D42=" "," ",VLOOKUP($D42,'Challenge Liste'!$A$3:$I$27,5))</f>
        <v xml:space="preserve"> </v>
      </c>
      <c r="H42" s="54" t="str">
        <f ca="1">IF(D42=" "," ",IF(E42=0,"-",HLOOKUP(E42,'Skill Liste'!$C$1:$H$29,LOOKUP(F42,'Skill Liste'!$B$2:$B$29,'Skill Liste'!$A$2:$A$29),FALSE)+Data!B100))</f>
        <v xml:space="preserve"> </v>
      </c>
      <c r="I42" s="54" t="str">
        <f ca="1">IF(D42=" "," ",VLOOKUP($D42,Tabelle6[[Challenges]:[Bester für Skill 2]],3))</f>
        <v xml:space="preserve"> </v>
      </c>
      <c r="J42" s="54" t="str">
        <f ca="1">IF(D42=" "," ",VLOOKUP($D42,'Challenge Liste'!$A$3:$F$27,6))</f>
        <v xml:space="preserve"> </v>
      </c>
      <c r="K42" s="54" t="str">
        <f ca="1">IF(D42=" "," ",VLOOKUP($D42,'Challenge Liste'!$A$3:$I$27,9))</f>
        <v xml:space="preserve"> </v>
      </c>
      <c r="L42" s="54" t="str">
        <f ca="1">IF(D42=" "," ",IF(I42=0,"-",HLOOKUP(I42,'Skill Liste'!$C$1:$H$29,LOOKUP(J42,'Skill Liste'!$B$2:$B$29,'Skill Liste'!$A$2:$A$29),FALSE)+Data!C100))</f>
        <v xml:space="preserve"> </v>
      </c>
      <c r="M42" s="54" t="str">
        <f t="shared" ca="1" si="3"/>
        <v xml:space="preserve"> </v>
      </c>
      <c r="N42" s="54" t="str">
        <f ca="1">IF(D42=" "," ",VLOOKUP(D42,Data!$A$32:$AH$56,IF(M42="Critical Success",2,IF(M42="Success",11,IF(M42="Failure",20,29))),))</f>
        <v xml:space="preserve"> </v>
      </c>
      <c r="O42" s="54" t="str">
        <f ca="1">IF(D42=" "," ",VLOOKUP(D42,Data!$A$32:$AH$56,IF(M42="Critical Success",3,IF(M42="Success",12,IF(M42="Failure",21,30))),)+O41)</f>
        <v xml:space="preserve"> </v>
      </c>
      <c r="P42" s="54" t="str">
        <f ca="1">IF(OR(D42=" ",D42="Complete the item")," ",VLOOKUP(D42,Data!$A$32:$AH$56,IF(M42="Critical Success",4,IF(M42="Success",13,IF(M42="Failure",22,31))),)+P41)</f>
        <v xml:space="preserve"> </v>
      </c>
      <c r="Q42" s="54" t="str">
        <f ca="1">IF(OR(D41=" ",D41="Complete the item")," ",IF(VLOOKUP(D42,Data!$A$32:$AH$56,IF(M42="Critical Success",5,IF(M42="Success",14,IF(M42="Failure",23,32))),)="X",Q41+1,IF(VLOOKUP(D42,Data!$A$32:$AH$56,IF(M42="Critical Success",5,IF(M42="Success",14,IF(M42="Failure",23,32))),)="XX",Q41+2,Q41)))</f>
        <v xml:space="preserve"> </v>
      </c>
      <c r="R42" s="54" t="str">
        <f ca="1">IF(OR(D41=" ",D41="Complete the item")," ",IF(VLOOKUP(D42,Data!$A$32:$AH$56,IF(M42="Critical Success",6,IF(M42="Success",15,IF(M42="Failure",24,33))),)="X",R41+1,IF(VLOOKUP(D42,Data!$A$32:$AH$56,IF(M42="Critical Success",6,IF(M42="Success",15,IF(M42="Failure",24,33))),)="XX",R41+2,R41)))</f>
        <v xml:space="preserve"> </v>
      </c>
      <c r="S42" s="54" t="str">
        <f ca="1">IF(OR(D41=" ",D41="Complete the item")," ",IF(VLOOKUP(D42,Data!$A$32:$AH$56,IF(M42="Critical Success",7,IF(M42="Success",16,IF(M42="Failure",25,34))),)="X",S41+1,IF(VLOOKUP(D42,Data!$A$32:$AH$56,IF(M42="Critical Success",7,IF(M42="Success",16,IF(M42="Failure",25,34))),)="XX",S41+2,S41)))</f>
        <v xml:space="preserve"> </v>
      </c>
    </row>
    <row r="43" spans="1:19" x14ac:dyDescent="0.25">
      <c r="A43" s="54" t="str">
        <f t="shared" ca="1" si="4"/>
        <v xml:space="preserve"> </v>
      </c>
      <c r="B43" s="54" t="str">
        <f t="shared" ca="1" si="5"/>
        <v xml:space="preserve"> </v>
      </c>
      <c r="C43" s="54" t="str">
        <f ca="1">IF(OR(D42="Complete the item",D42=" ")," ",Data!A100)</f>
        <v xml:space="preserve"> </v>
      </c>
      <c r="D43" s="54" t="str">
        <f ca="1">IF(P42=" "," ",IF(A43&lt;P42,VLOOKUP(C43,Data!$A$2:$E$24,5),IF(OR(D42=" ",D42="Complete the item")," ","Complete the item")))</f>
        <v xml:space="preserve"> </v>
      </c>
      <c r="E43" s="54" t="str">
        <f ca="1">IF(D43=" "," ",VLOOKUP($D43,Tabelle6[[Challenges]:[Bester für Skill 2]],2))</f>
        <v xml:space="preserve"> </v>
      </c>
      <c r="F43" s="54" t="str">
        <f ca="1">IF(D43=" "," ",VLOOKUP($D43,'Challenge Liste'!$A$3:$F$27,2))</f>
        <v xml:space="preserve"> </v>
      </c>
      <c r="G43" s="54" t="str">
        <f ca="1">IF(D43=" "," ",VLOOKUP($D43,'Challenge Liste'!$A$3:$I$27,5))</f>
        <v xml:space="preserve"> </v>
      </c>
      <c r="H43" s="54" t="str">
        <f ca="1">IF(D43=" "," ",IF(E43=0,"-",HLOOKUP(E43,'Skill Liste'!$C$1:$H$29,LOOKUP(F43,'Skill Liste'!$B$2:$B$29,'Skill Liste'!$A$2:$A$29),FALSE)+Data!B101))</f>
        <v xml:space="preserve"> </v>
      </c>
      <c r="I43" s="54" t="str">
        <f ca="1">IF(D43=" "," ",VLOOKUP($D43,Tabelle6[[Challenges]:[Bester für Skill 2]],3))</f>
        <v xml:space="preserve"> </v>
      </c>
      <c r="J43" s="54" t="str">
        <f ca="1">IF(D43=" "," ",VLOOKUP($D43,'Challenge Liste'!$A$3:$F$27,6))</f>
        <v xml:space="preserve"> </v>
      </c>
      <c r="K43" s="54" t="str">
        <f ca="1">IF(D43=" "," ",VLOOKUP($D43,'Challenge Liste'!$A$3:$I$27,9))</f>
        <v xml:space="preserve"> </v>
      </c>
      <c r="L43" s="54" t="str">
        <f ca="1">IF(D43=" "," ",IF(I43=0,"-",HLOOKUP(I43,'Skill Liste'!$C$1:$H$29,LOOKUP(J43,'Skill Liste'!$B$2:$B$29,'Skill Liste'!$A$2:$A$29),FALSE)+Data!C101))</f>
        <v xml:space="preserve"> </v>
      </c>
      <c r="M43" s="54" t="str">
        <f t="shared" ca="1" si="3"/>
        <v xml:space="preserve"> </v>
      </c>
      <c r="N43" s="54" t="str">
        <f ca="1">IF(D43=" "," ",VLOOKUP(D43,Data!$A$32:$AH$56,IF(M43="Critical Success",2,IF(M43="Success",11,IF(M43="Failure",20,29))),))</f>
        <v xml:space="preserve"> </v>
      </c>
      <c r="O43" s="54" t="str">
        <f ca="1">IF(D43=" "," ",VLOOKUP(D43,Data!$A$32:$AH$56,IF(M43="Critical Success",3,IF(M43="Success",12,IF(M43="Failure",21,30))),)+O42)</f>
        <v xml:space="preserve"> </v>
      </c>
      <c r="P43" s="54" t="str">
        <f ca="1">IF(OR(D43=" ",D43="Complete the item")," ",VLOOKUP(D43,Data!$A$32:$AH$56,IF(M43="Critical Success",4,IF(M43="Success",13,IF(M43="Failure",22,31))),)+P42)</f>
        <v xml:space="preserve"> </v>
      </c>
      <c r="Q43" s="54" t="str">
        <f ca="1">IF(OR(D42=" ",D42="Complete the item")," ",IF(VLOOKUP(D43,Data!$A$32:$AH$56,IF(M43="Critical Success",5,IF(M43="Success",14,IF(M43="Failure",23,32))),)="X",Q42+1,IF(VLOOKUP(D43,Data!$A$32:$AH$56,IF(M43="Critical Success",5,IF(M43="Success",14,IF(M43="Failure",23,32))),)="XX",Q42+2,Q42)))</f>
        <v xml:space="preserve"> </v>
      </c>
      <c r="R43" s="54" t="str">
        <f ca="1">IF(OR(D42=" ",D42="Complete the item")," ",IF(VLOOKUP(D43,Data!$A$32:$AH$56,IF(M43="Critical Success",6,IF(M43="Success",15,IF(M43="Failure",24,33))),)="X",R42+1,IF(VLOOKUP(D43,Data!$A$32:$AH$56,IF(M43="Critical Success",6,IF(M43="Success",15,IF(M43="Failure",24,33))),)="XX",R42+2,R42)))</f>
        <v xml:space="preserve"> </v>
      </c>
      <c r="S43" s="54" t="str">
        <f ca="1">IF(OR(D42=" ",D42="Complete the item")," ",IF(VLOOKUP(D43,Data!$A$32:$AH$56,IF(M43="Critical Success",7,IF(M43="Success",16,IF(M43="Failure",25,34))),)="X",S42+1,IF(VLOOKUP(D43,Data!$A$32:$AH$56,IF(M43="Critical Success",7,IF(M43="Success",16,IF(M43="Failure",25,34))),)="XX",S42+2,S42)))</f>
        <v xml:space="preserve"> </v>
      </c>
    </row>
    <row r="44" spans="1:19" x14ac:dyDescent="0.25">
      <c r="A44" s="54" t="str">
        <f t="shared" ca="1" si="4"/>
        <v xml:space="preserve"> </v>
      </c>
      <c r="B44" s="54" t="str">
        <f t="shared" ca="1" si="5"/>
        <v xml:space="preserve"> </v>
      </c>
      <c r="C44" s="54" t="str">
        <f ca="1">IF(OR(D43="Complete the item",D43=" ")," ",Data!A101)</f>
        <v xml:space="preserve"> </v>
      </c>
      <c r="D44" s="54" t="str">
        <f ca="1">IF(P43=" "," ",IF(A44&lt;P43,VLOOKUP(C44,Data!$A$2:$E$24,5),IF(OR(D43=" ",D43="Complete the item")," ","Complete the item")))</f>
        <v xml:space="preserve"> </v>
      </c>
      <c r="E44" s="54" t="str">
        <f ca="1">IF(D44=" "," ",VLOOKUP($D44,Tabelle6[[Challenges]:[Bester für Skill 2]],2))</f>
        <v xml:space="preserve"> </v>
      </c>
      <c r="F44" s="54" t="str">
        <f ca="1">IF(D44=" "," ",VLOOKUP($D44,'Challenge Liste'!$A$3:$F$27,2))</f>
        <v xml:space="preserve"> </v>
      </c>
      <c r="G44" s="54" t="str">
        <f ca="1">IF(D44=" "," ",VLOOKUP($D44,'Challenge Liste'!$A$3:$I$27,5))</f>
        <v xml:space="preserve"> </v>
      </c>
      <c r="H44" s="54" t="str">
        <f ca="1">IF(D44=" "," ",IF(E44=0,"-",HLOOKUP(E44,'Skill Liste'!$C$1:$H$29,LOOKUP(F44,'Skill Liste'!$B$2:$B$29,'Skill Liste'!$A$2:$A$29),FALSE)+Data!B102))</f>
        <v xml:space="preserve"> </v>
      </c>
      <c r="I44" s="54" t="str">
        <f ca="1">IF(D44=" "," ",VLOOKUP($D44,Tabelle6[[Challenges]:[Bester für Skill 2]],3))</f>
        <v xml:space="preserve"> </v>
      </c>
      <c r="J44" s="54" t="str">
        <f ca="1">IF(D44=" "," ",VLOOKUP($D44,'Challenge Liste'!$A$3:$F$27,6))</f>
        <v xml:space="preserve"> </v>
      </c>
      <c r="K44" s="54" t="str">
        <f ca="1">IF(D44=" "," ",VLOOKUP($D44,'Challenge Liste'!$A$3:$I$27,9))</f>
        <v xml:space="preserve"> </v>
      </c>
      <c r="L44" s="54" t="str">
        <f ca="1">IF(D44=" "," ",IF(I44=0,"-",HLOOKUP(I44,'Skill Liste'!$C$1:$H$29,LOOKUP(J44,'Skill Liste'!$B$2:$B$29,'Skill Liste'!$A$2:$A$29),FALSE)+Data!C102))</f>
        <v xml:space="preserve"> </v>
      </c>
      <c r="M44" s="54" t="str">
        <f t="shared" ca="1" si="3"/>
        <v xml:space="preserve"> </v>
      </c>
      <c r="N44" s="54" t="str">
        <f ca="1">IF(D44=" "," ",VLOOKUP(D44,Data!$A$32:$AH$56,IF(M44="Critical Success",2,IF(M44="Success",11,IF(M44="Failure",20,29))),))</f>
        <v xml:space="preserve"> </v>
      </c>
      <c r="O44" s="54" t="str">
        <f ca="1">IF(D44=" "," ",VLOOKUP(D44,Data!$A$32:$AH$56,IF(M44="Critical Success",3,IF(M44="Success",12,IF(M44="Failure",21,30))),)+O43)</f>
        <v xml:space="preserve"> </v>
      </c>
      <c r="P44" s="54" t="str">
        <f ca="1">IF(OR(D44=" ",D44="Complete the item")," ",VLOOKUP(D44,Data!$A$32:$AH$56,IF(M44="Critical Success",4,IF(M44="Success",13,IF(M44="Failure",22,31))),)+P43)</f>
        <v xml:space="preserve"> </v>
      </c>
      <c r="Q44" s="54" t="str">
        <f ca="1">IF(OR(D43=" ",D43="Complete the item")," ",IF(VLOOKUP(D44,Data!$A$32:$AH$56,IF(M44="Critical Success",5,IF(M44="Success",14,IF(M44="Failure",23,32))),)="X",Q43+1,IF(VLOOKUP(D44,Data!$A$32:$AH$56,IF(M44="Critical Success",5,IF(M44="Success",14,IF(M44="Failure",23,32))),)="XX",Q43+2,Q43)))</f>
        <v xml:space="preserve"> </v>
      </c>
      <c r="R44" s="54" t="str">
        <f ca="1">IF(OR(D43=" ",D43="Complete the item")," ",IF(VLOOKUP(D44,Data!$A$32:$AH$56,IF(M44="Critical Success",6,IF(M44="Success",15,IF(M44="Failure",24,33))),)="X",R43+1,IF(VLOOKUP(D44,Data!$A$32:$AH$56,IF(M44="Critical Success",6,IF(M44="Success",15,IF(M44="Failure",24,33))),)="XX",R43+2,R43)))</f>
        <v xml:space="preserve"> </v>
      </c>
      <c r="S44" s="54" t="str">
        <f ca="1">IF(OR(D43=" ",D43="Complete the item")," ",IF(VLOOKUP(D44,Data!$A$32:$AH$56,IF(M44="Critical Success",7,IF(M44="Success",16,IF(M44="Failure",25,34))),)="X",S43+1,IF(VLOOKUP(D44,Data!$A$32:$AH$56,IF(M44="Critical Success",7,IF(M44="Success",16,IF(M44="Failure",25,34))),)="XX",S43+2,S43)))</f>
        <v xml:space="preserve"> </v>
      </c>
    </row>
    <row r="45" spans="1:19" x14ac:dyDescent="0.25">
      <c r="A45" s="54" t="str">
        <f t="shared" ca="1" si="4"/>
        <v xml:space="preserve"> </v>
      </c>
      <c r="B45" s="54" t="str">
        <f t="shared" ca="1" si="5"/>
        <v xml:space="preserve"> </v>
      </c>
      <c r="C45" s="54" t="str">
        <f ca="1">IF(OR(D44="Complete the item",D44=" ")," ",Data!A102)</f>
        <v xml:space="preserve"> </v>
      </c>
      <c r="D45" s="54" t="str">
        <f ca="1">IF(P44=" "," ",IF(A45&lt;P44,VLOOKUP(C45,Data!$A$2:$E$24,5),IF(OR(D44=" ",D44="Complete the item")," ","Complete the item")))</f>
        <v xml:space="preserve"> </v>
      </c>
      <c r="E45" s="54" t="str">
        <f ca="1">IF(D45=" "," ",VLOOKUP($D45,Tabelle6[[Challenges]:[Bester für Skill 2]],2))</f>
        <v xml:space="preserve"> </v>
      </c>
      <c r="F45" s="54" t="str">
        <f ca="1">IF(D45=" "," ",VLOOKUP($D45,'Challenge Liste'!$A$3:$F$27,2))</f>
        <v xml:space="preserve"> </v>
      </c>
      <c r="G45" s="54" t="str">
        <f ca="1">IF(D45=" "," ",VLOOKUP($D45,'Challenge Liste'!$A$3:$I$27,5))</f>
        <v xml:space="preserve"> </v>
      </c>
      <c r="H45" s="54" t="str">
        <f ca="1">IF(D45=" "," ",IF(E45=0,"-",HLOOKUP(E45,'Skill Liste'!$C$1:$H$29,LOOKUP(F45,'Skill Liste'!$B$2:$B$29,'Skill Liste'!$A$2:$A$29),FALSE)+Data!B103))</f>
        <v xml:space="preserve"> </v>
      </c>
      <c r="I45" s="54" t="str">
        <f ca="1">IF(D45=" "," ",VLOOKUP($D45,Tabelle6[[Challenges]:[Bester für Skill 2]],3))</f>
        <v xml:space="preserve"> </v>
      </c>
      <c r="J45" s="54" t="str">
        <f ca="1">IF(D45=" "," ",VLOOKUP($D45,'Challenge Liste'!$A$3:$F$27,6))</f>
        <v xml:space="preserve"> </v>
      </c>
      <c r="K45" s="54" t="str">
        <f ca="1">IF(D45=" "," ",VLOOKUP($D45,'Challenge Liste'!$A$3:$I$27,9))</f>
        <v xml:space="preserve"> </v>
      </c>
      <c r="L45" s="54" t="str">
        <f ca="1">IF(D45=" "," ",IF(I45=0,"-",HLOOKUP(I45,'Skill Liste'!$C$1:$H$29,LOOKUP(J45,'Skill Liste'!$B$2:$B$29,'Skill Liste'!$A$2:$A$29),FALSE)+Data!C103))</f>
        <v xml:space="preserve"> </v>
      </c>
      <c r="M45" s="54" t="str">
        <f t="shared" ca="1" si="3"/>
        <v xml:space="preserve"> </v>
      </c>
      <c r="N45" s="54" t="str">
        <f ca="1">IF(D45=" "," ",VLOOKUP(D45,Data!$A$32:$AH$56,IF(M45="Critical Success",2,IF(M45="Success",11,IF(M45="Failure",20,29))),))</f>
        <v xml:space="preserve"> </v>
      </c>
      <c r="O45" s="54" t="str">
        <f ca="1">IF(D45=" "," ",VLOOKUP(D45,Data!$A$32:$AH$56,IF(M45="Critical Success",3,IF(M45="Success",12,IF(M45="Failure",21,30))),)+O44)</f>
        <v xml:space="preserve"> </v>
      </c>
      <c r="P45" s="54" t="str">
        <f ca="1">IF(OR(D45=" ",D45="Complete the item")," ",VLOOKUP(D45,Data!$A$32:$AH$56,IF(M45="Critical Success",4,IF(M45="Success",13,IF(M45="Failure",22,31))),)+P44)</f>
        <v xml:space="preserve"> </v>
      </c>
      <c r="Q45" s="54" t="str">
        <f ca="1">IF(OR(D44=" ",D44="Complete the item")," ",IF(VLOOKUP(D45,Data!$A$32:$AH$56,IF(M45="Critical Success",5,IF(M45="Success",14,IF(M45="Failure",23,32))),)="X",Q44+1,IF(VLOOKUP(D45,Data!$A$32:$AH$56,IF(M45="Critical Success",5,IF(M45="Success",14,IF(M45="Failure",23,32))),)="XX",Q44+2,Q44)))</f>
        <v xml:space="preserve"> </v>
      </c>
      <c r="R45" s="54" t="str">
        <f ca="1">IF(OR(D44=" ",D44="Complete the item")," ",IF(VLOOKUP(D45,Data!$A$32:$AH$56,IF(M45="Critical Success",6,IF(M45="Success",15,IF(M45="Failure",24,33))),)="X",R44+1,IF(VLOOKUP(D45,Data!$A$32:$AH$56,IF(M45="Critical Success",6,IF(M45="Success",15,IF(M45="Failure",24,33))),)="XX",R44+2,R44)))</f>
        <v xml:space="preserve"> </v>
      </c>
      <c r="S45" s="54" t="str">
        <f ca="1">IF(OR(D44=" ",D44="Complete the item")," ",IF(VLOOKUP(D45,Data!$A$32:$AH$56,IF(M45="Critical Success",7,IF(M45="Success",16,IF(M45="Failure",25,34))),)="X",S44+1,IF(VLOOKUP(D45,Data!$A$32:$AH$56,IF(M45="Critical Success",7,IF(M45="Success",16,IF(M45="Failure",25,34))),)="XX",S44+2,S44)))</f>
        <v xml:space="preserve"> </v>
      </c>
    </row>
    <row r="46" spans="1:19" x14ac:dyDescent="0.25">
      <c r="A46" s="54" t="str">
        <f t="shared" ca="1" si="4"/>
        <v xml:space="preserve"> </v>
      </c>
      <c r="B46" s="54" t="str">
        <f t="shared" ca="1" si="5"/>
        <v xml:space="preserve"> </v>
      </c>
      <c r="C46" s="54" t="str">
        <f ca="1">IF(OR(D45="Complete the item",D45=" ")," ",Data!A103)</f>
        <v xml:space="preserve"> </v>
      </c>
      <c r="D46" s="54" t="str">
        <f ca="1">IF(P45=" "," ",IF(A46&lt;P45,VLOOKUP(C46,Data!$A$2:$E$24,5),IF(OR(D45=" ",D45="Complete the item")," ","Complete the item")))</f>
        <v xml:space="preserve"> </v>
      </c>
      <c r="E46" s="54" t="str">
        <f ca="1">IF(D46=" "," ",VLOOKUP($D46,Tabelle6[[Challenges]:[Bester für Skill 2]],2))</f>
        <v xml:space="preserve"> </v>
      </c>
      <c r="F46" s="54" t="str">
        <f ca="1">IF(D46=" "," ",VLOOKUP($D46,'Challenge Liste'!$A$3:$F$27,2))</f>
        <v xml:space="preserve"> </v>
      </c>
      <c r="G46" s="54" t="str">
        <f ca="1">IF(D46=" "," ",VLOOKUP($D46,'Challenge Liste'!$A$3:$I$27,5))</f>
        <v xml:space="preserve"> </v>
      </c>
      <c r="H46" s="54" t="str">
        <f ca="1">IF(D46=" "," ",IF(E46=0,"-",HLOOKUP(E46,'Skill Liste'!$C$1:$H$29,LOOKUP(F46,'Skill Liste'!$B$2:$B$29,'Skill Liste'!$A$2:$A$29),FALSE)+Data!B104))</f>
        <v xml:space="preserve"> </v>
      </c>
      <c r="I46" s="54" t="str">
        <f ca="1">IF(D46=" "," ",VLOOKUP($D46,Tabelle6[[Challenges]:[Bester für Skill 2]],3))</f>
        <v xml:space="preserve"> </v>
      </c>
      <c r="J46" s="54" t="str">
        <f ca="1">IF(D46=" "," ",VLOOKUP($D46,'Challenge Liste'!$A$3:$F$27,6))</f>
        <v xml:space="preserve"> </v>
      </c>
      <c r="K46" s="54" t="str">
        <f ca="1">IF(D46=" "," ",VLOOKUP($D46,'Challenge Liste'!$A$3:$I$27,9))</f>
        <v xml:space="preserve"> </v>
      </c>
      <c r="L46" s="54" t="str">
        <f ca="1">IF(D46=" "," ",IF(I46=0,"-",HLOOKUP(I46,'Skill Liste'!$C$1:$H$29,LOOKUP(J46,'Skill Liste'!$B$2:$B$29,'Skill Liste'!$A$2:$A$29),FALSE)+Data!C104))</f>
        <v xml:space="preserve"> </v>
      </c>
      <c r="M46" s="54" t="str">
        <f t="shared" ca="1" si="3"/>
        <v xml:space="preserve"> </v>
      </c>
      <c r="N46" s="54" t="str">
        <f ca="1">IF(D46=" "," ",VLOOKUP(D46,Data!$A$32:$AH$56,IF(M46="Critical Success",2,IF(M46="Success",11,IF(M46="Failure",20,29))),))</f>
        <v xml:space="preserve"> </v>
      </c>
      <c r="O46" s="54" t="str">
        <f ca="1">IF(D46=" "," ",VLOOKUP(D46,Data!$A$32:$AH$56,IF(M46="Critical Success",3,IF(M46="Success",12,IF(M46="Failure",21,30))),)+O45)</f>
        <v xml:space="preserve"> </v>
      </c>
      <c r="P46" s="54" t="str">
        <f ca="1">IF(OR(D46=" ",D46="Complete the item")," ",VLOOKUP(D46,Data!$A$32:$AH$56,IF(M46="Critical Success",4,IF(M46="Success",13,IF(M46="Failure",22,31))),)+P45)</f>
        <v xml:space="preserve"> </v>
      </c>
      <c r="Q46" s="54" t="str">
        <f ca="1">IF(OR(D45=" ",D45="Complete the item")," ",IF(VLOOKUP(D46,Data!$A$32:$AH$56,IF(M46="Critical Success",5,IF(M46="Success",14,IF(M46="Failure",23,32))),)="X",Q45+1,IF(VLOOKUP(D46,Data!$A$32:$AH$56,IF(M46="Critical Success",5,IF(M46="Success",14,IF(M46="Failure",23,32))),)="XX",Q45+2,Q45)))</f>
        <v xml:space="preserve"> </v>
      </c>
      <c r="R46" s="54" t="str">
        <f ca="1">IF(OR(D45=" ",D45="Complete the item")," ",IF(VLOOKUP(D46,Data!$A$32:$AH$56,IF(M46="Critical Success",6,IF(M46="Success",15,IF(M46="Failure",24,33))),)="X",R45+1,IF(VLOOKUP(D46,Data!$A$32:$AH$56,IF(M46="Critical Success",6,IF(M46="Success",15,IF(M46="Failure",24,33))),)="XX",R45+2,R45)))</f>
        <v xml:space="preserve"> </v>
      </c>
      <c r="S46" s="54" t="str">
        <f ca="1">IF(OR(D45=" ",D45="Complete the item")," ",IF(VLOOKUP(D46,Data!$A$32:$AH$56,IF(M46="Critical Success",7,IF(M46="Success",16,IF(M46="Failure",25,34))),)="X",S45+1,IF(VLOOKUP(D46,Data!$A$32:$AH$56,IF(M46="Critical Success",7,IF(M46="Success",16,IF(M46="Failure",25,34))),)="XX",S45+2,S45)))</f>
        <v xml:space="preserve"> </v>
      </c>
    </row>
    <row r="47" spans="1:19" x14ac:dyDescent="0.25">
      <c r="Q47" s="54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Front</vt:lpstr>
      <vt:lpstr>Ergebnis</vt:lpstr>
      <vt:lpstr>bestlist</vt:lpstr>
      <vt:lpstr>Challenge Liste</vt:lpstr>
      <vt:lpstr>Skill Liste</vt:lpstr>
      <vt:lpstr>Data</vt:lpstr>
      <vt:lpstr>Rechnungen</vt:lpstr>
      <vt:lpstr>Simulation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 Schön</dc:creator>
  <cp:lastModifiedBy>Konrad Schön</cp:lastModifiedBy>
  <cp:lastPrinted>2017-08-10T17:26:04Z</cp:lastPrinted>
  <dcterms:created xsi:type="dcterms:W3CDTF">2017-03-14T19:01:50Z</dcterms:created>
  <dcterms:modified xsi:type="dcterms:W3CDTF">2017-08-10T17:29:40Z</dcterms:modified>
</cp:coreProperties>
</file>